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4"/>
    <sheet state="visible" name="Vaccination Strategy" sheetId="2" r:id="rId5"/>
    <sheet state="visible" name="Inventory Report" sheetId="3" r:id="rId6"/>
    <sheet state="visible" name="Flood Budget" sheetId="4" r:id="rId7"/>
  </sheets>
  <definedNames/>
  <calcPr/>
</workbook>
</file>

<file path=xl/sharedStrings.xml><?xml version="1.0" encoding="utf-8"?>
<sst xmlns="http://schemas.openxmlformats.org/spreadsheetml/2006/main" count="334" uniqueCount="234">
  <si>
    <t>Relief Projects — Seed Documents (Google Sheets style)</t>
  </si>
  <si>
    <t>This workbook contains three example documents used for training/demo data. You can edit any blue fields later.</t>
  </si>
  <si>
    <t>Project</t>
  </si>
  <si>
    <t>Vaccination Drive in Rural Africa</t>
  </si>
  <si>
    <t>Prepared</t>
  </si>
  <si>
    <t>2026-01-11</t>
  </si>
  <si>
    <t>Notes</t>
  </si>
  <si>
    <t>These are realistic-but-fake examples. Replace with real values before operational use.</t>
  </si>
  <si>
    <t>Contents</t>
  </si>
  <si>
    <t>Document</t>
  </si>
  <si>
    <t>What it's for</t>
  </si>
  <si>
    <t>Last updated</t>
  </si>
  <si>
    <t>Open</t>
  </si>
  <si>
    <t>Vaccination Rollout Strategy</t>
  </si>
  <si>
    <t>Operational plan: target groups, timeline, roles, risks, KPIs.</t>
  </si>
  <si>
    <t>Go</t>
  </si>
  <si>
    <t>Vaccine Inventory Report</t>
  </si>
  <si>
    <t>Stock tracking: batches, expiry, on-hand, consumption, alerts, summary charts.</t>
  </si>
  <si>
    <t>Flood Relief Budget Plan</t>
  </si>
  <si>
    <t>Budget worksheet: cost lines, assumptions, category totals, summary chart.</t>
  </si>
  <si>
    <t>Vaccination Rollout Strategy — Vaccination Drive in Rural Africa</t>
  </si>
  <si>
    <t>Realistic example document (seed data). Replace names, dates, and numbers with real information before use.</t>
  </si>
  <si>
    <t>1) Overview</t>
  </si>
  <si>
    <t>Purpose</t>
  </si>
  <si>
    <t>Deliver a safe, equitable vaccination rollout across rural communities by combining fixed-site clinics and mobile outreach.</t>
  </si>
  <si>
    <t>Primary geography</t>
  </si>
  <si>
    <t>Kijiji District (rural, dispersed villages; limited cold-chain capacity at peripheral sites).</t>
  </si>
  <si>
    <t>Time window</t>
  </si>
  <si>
    <t>12-week rollout (includes setup, rollout waves, and catch-up days).</t>
  </si>
  <si>
    <t>Target disease</t>
  </si>
  <si>
    <t>Routine immunization + catch-up campaign (example).</t>
  </si>
  <si>
    <t>Key partners</t>
  </si>
  <si>
    <t>District Health Office; community leaders; implementing partner NGOs; cold-chain logistics provider.</t>
  </si>
  <si>
    <t>2) Target groups &amp; dose planning</t>
  </si>
  <si>
    <t>Target group</t>
  </si>
  <si>
    <t>Estimated population</t>
  </si>
  <si>
    <t>Coverage target</t>
  </si>
  <si>
    <t>Doses per person</t>
  </si>
  <si>
    <t>Estimated doses needed</t>
  </si>
  <si>
    <t>Delivery approach</t>
  </si>
  <si>
    <t>Owner</t>
  </si>
  <si>
    <t>Children 0–5</t>
  </si>
  <si>
    <t>Fixed + outreach</t>
  </si>
  <si>
    <t>Prioritize remote villages for outreach days.</t>
  </si>
  <si>
    <t>EPI Lead</t>
  </si>
  <si>
    <t>Pregnant women</t>
  </si>
  <si>
    <t>ANC clinics</t>
  </si>
  <si>
    <t>Align with antenatal visit schedules.</t>
  </si>
  <si>
    <t>Maternal Health</t>
  </si>
  <si>
    <t>Health workers</t>
  </si>
  <si>
    <t>Facility-based</t>
  </si>
  <si>
    <t>Include private clinics in roster.</t>
  </si>
  <si>
    <t>HR Officer</t>
  </si>
  <si>
    <t>Adults 60+</t>
  </si>
  <si>
    <t>Mobile outreach</t>
  </si>
  <si>
    <t>Use community mobilizers for attendance.</t>
  </si>
  <si>
    <t>Community Lead</t>
  </si>
  <si>
    <t>TOTAL</t>
  </si>
  <si>
    <t>3) Rollout timeline (12 weeks)</t>
  </si>
  <si>
    <t>Week</t>
  </si>
  <si>
    <t>Dates (example)</t>
  </si>
  <si>
    <t>Focus</t>
  </si>
  <si>
    <t>Key activities</t>
  </si>
  <si>
    <t>Deliverable</t>
  </si>
  <si>
    <t>Dependencies</t>
  </si>
  <si>
    <t>Status (example)</t>
  </si>
  <si>
    <t>2026-01-18 to 2026-01-24</t>
  </si>
  <si>
    <t>Setup</t>
  </si>
  <si>
    <t>Confirm microplan, map sites, validate target estimates, finalize cold-chain routes.</t>
  </si>
  <si>
    <t>Microplan + site schedule approved</t>
  </si>
  <si>
    <t>District Team</t>
  </si>
  <si>
    <t>Cold chain + mobilization</t>
  </si>
  <si>
    <t>On track</t>
  </si>
  <si>
    <t>2026-01-25 to 2026-01-31</t>
  </si>
  <si>
    <t>Staff briefing, community engagement launch, stock pre-positioning.</t>
  </si>
  <si>
    <t>Teams trained; initial stock at hub</t>
  </si>
  <si>
    <t>2026-02-01 to 2026-02-07</t>
  </si>
  <si>
    <t>Wave 1</t>
  </si>
  <si>
    <t>Fixed-site vaccination + outreach to nearest clusters; daily reconciliation.</t>
  </si>
  <si>
    <t>Weekly coverage report</t>
  </si>
  <si>
    <t>2026-02-08 to 2026-02-14</t>
  </si>
  <si>
    <t>2026-02-15 to 2026-02-21</t>
  </si>
  <si>
    <t>2026-02-22 to 2026-02-28</t>
  </si>
  <si>
    <t>Wave 2</t>
  </si>
  <si>
    <t>Outreach to remote villages; catch-up for missed target groups.</t>
  </si>
  <si>
    <t>Outreach log + coverage update</t>
  </si>
  <si>
    <t>2026-03-01 to 2026-03-07</t>
  </si>
  <si>
    <t>2026-03-08 to 2026-03-14</t>
  </si>
  <si>
    <t>2026-03-15 to 2026-03-21</t>
  </si>
  <si>
    <t>Wave 3</t>
  </si>
  <si>
    <t>Second pass: low-coverage areas, high-risk groups; stock rebalancing.</t>
  </si>
  <si>
    <t>Exception list cleared</t>
  </si>
  <si>
    <t>2026-03-22 to 2026-03-28</t>
  </si>
  <si>
    <t>2026-03-29 to 2026-04-04</t>
  </si>
  <si>
    <t>Closeout</t>
  </si>
  <si>
    <t>Catch-up days, inventory close, final reporting and lessons learned.</t>
  </si>
  <si>
    <t>Final campaign report</t>
  </si>
  <si>
    <t>2026-04-05 to 2026-04-11</t>
  </si>
  <si>
    <t>4) Roles &amp; responsibilities</t>
  </si>
  <si>
    <t>Overall coordination, daily review, liaison with district.</t>
  </si>
  <si>
    <t>District HQ</t>
  </si>
  <si>
    <t>Coverage dashboard; microplan</t>
  </si>
  <si>
    <t>Deputy EPI</t>
  </si>
  <si>
    <t>Approves schedule changes.</t>
  </si>
  <si>
    <t>Health Dept</t>
  </si>
  <si>
    <t>Cold-chain Technician</t>
  </si>
  <si>
    <t>Storage checks, temperature logs, ice-pack prep, route QA.</t>
  </si>
  <si>
    <t>Hub + routes</t>
  </si>
  <si>
    <t>Temp loggers; fridge tags</t>
  </si>
  <si>
    <t>Senior Tech</t>
  </si>
  <si>
    <t>Daily cold chain report.</t>
  </si>
  <si>
    <t>Logistics</t>
  </si>
  <si>
    <t>Vaccination Team</t>
  </si>
  <si>
    <t>Administer vaccines, record doses, adverse event watch.</t>
  </si>
  <si>
    <t>Sites/outreach</t>
  </si>
  <si>
    <t>Registers; PPE</t>
  </si>
  <si>
    <t>Reserve team</t>
  </si>
  <si>
    <t>4 teams × 3 staff.</t>
  </si>
  <si>
    <t>Field Ops</t>
  </si>
  <si>
    <t>Community Mobilizers</t>
  </si>
  <si>
    <t>Community sensitization, appointment reminders, escort support.</t>
  </si>
  <si>
    <t>Villages</t>
  </si>
  <si>
    <t>Megaphones; SMS lists</t>
  </si>
  <si>
    <t>Lead mobilizer</t>
  </si>
  <si>
    <t>Coordinate with leaders.</t>
  </si>
  <si>
    <t>5) Monitoring indicators (KPIs)</t>
  </si>
  <si>
    <t>Coverage rate</t>
  </si>
  <si>
    <t>Doses administered / target population (per group).</t>
  </si>
  <si>
    <t>&gt;= 85%</t>
  </si>
  <si>
    <t>Daily register + weekly roll-up</t>
  </si>
  <si>
    <t>Weekly</t>
  </si>
  <si>
    <t>M&amp;E</t>
  </si>
  <si>
    <t>Report by village/ward.</t>
  </si>
  <si>
    <t>Cold chain compliance</t>
  </si>
  <si>
    <t>% days with temp in range at hub + sites.</t>
  </si>
  <si>
    <t>&gt;= 95%</t>
  </si>
  <si>
    <t>Temp logs</t>
  </si>
  <si>
    <t>Daily</t>
  </si>
  <si>
    <t>Escalate deviations within 2h.</t>
  </si>
  <si>
    <t>Wastage rate</t>
  </si>
  <si>
    <t>Wasted doses / doses issued.</t>
  </si>
  <si>
    <t>&lt;= 5%</t>
  </si>
  <si>
    <t>Stock cards + session tally</t>
  </si>
  <si>
    <t>Investigate spikes.</t>
  </si>
  <si>
    <t>Watch</t>
  </si>
  <si>
    <t>AEFI reporting</t>
  </si>
  <si>
    <t># AEFI reports logged within 24h.</t>
  </si>
  <si>
    <t>100% within 24h</t>
  </si>
  <si>
    <t>AEFI form log</t>
  </si>
  <si>
    <t>Clinical Lead</t>
  </si>
  <si>
    <t>Zero is ok if none occurred.</t>
  </si>
  <si>
    <t>6) Risks &amp; mitigation</t>
  </si>
  <si>
    <t>Cold-chain failure at peripheral site</t>
  </si>
  <si>
    <t>Medium</t>
  </si>
  <si>
    <t>High</t>
  </si>
  <si>
    <t>Temp excursions; power outages</t>
  </si>
  <si>
    <t>Use ice-lined coolers; daily temp checks; move stock to hub if unstable.</t>
  </si>
  <si>
    <t>Cold-chain Tech</t>
  </si>
  <si>
    <t>District Logistics</t>
  </si>
  <si>
    <t>Prioritize solar sites.</t>
  </si>
  <si>
    <t>Low turnout in remote villages</t>
  </si>
  <si>
    <t>Low mobilizer reports; missed appointments</t>
  </si>
  <si>
    <t>Increase mobilization; coordinate with leaders; add catch-up days.</t>
  </si>
  <si>
    <t>District Health Officer</t>
  </si>
  <si>
    <t>Use radio + local gatherings.</t>
  </si>
  <si>
    <t>Stock-out of syringes/safety boxes</t>
  </si>
  <si>
    <t>Low</t>
  </si>
  <si>
    <t>Reorder point triggered; delayed deliveries</t>
  </si>
  <si>
    <t>Maintain buffer stock; weekly procurement check; alternative supplier list.</t>
  </si>
  <si>
    <t>Procurement</t>
  </si>
  <si>
    <t>Ops Manager</t>
  </si>
  <si>
    <t>Track lead times.</t>
  </si>
  <si>
    <t>Misinformation / rumors</t>
  </si>
  <si>
    <t>Social chatter; refusal spikes</t>
  </si>
  <si>
    <t>Rapid response messaging; trusted spokespersons; hotline.</t>
  </si>
  <si>
    <t>Comms</t>
  </si>
  <si>
    <t>Program Director</t>
  </si>
  <si>
    <t>Document incidents.</t>
  </si>
  <si>
    <t>Back to INDEX</t>
  </si>
  <si>
    <t>Vaccine Inventory Report — Vaccination Drive in Rural Africa</t>
  </si>
  <si>
    <t>Example stock report (seed data). Uses formulas for on-hand and alerts.</t>
  </si>
  <si>
    <t>Reporting period (days)</t>
  </si>
  <si>
    <t>Report date</t>
  </si>
  <si>
    <t>1) Stock by site (batches)</t>
  </si>
  <si>
    <t>Kijiji Hub Store</t>
  </si>
  <si>
    <t>Measles-Rubella</t>
  </si>
  <si>
    <t>MR-24-018</t>
  </si>
  <si>
    <t>Pentavalent</t>
  </si>
  <si>
    <t>PEN-24-122</t>
  </si>
  <si>
    <t>Nuru Clinic</t>
  </si>
  <si>
    <t>MR-24-021</t>
  </si>
  <si>
    <t>Oral Polio</t>
  </si>
  <si>
    <t>OPV-24-077</t>
  </si>
  <si>
    <t>Maji Clinic</t>
  </si>
  <si>
    <t>PEN-24-130</t>
  </si>
  <si>
    <t>Ziwa Outreach Team</t>
  </si>
  <si>
    <t>Td (Tetanus/Diphtheria)</t>
  </si>
  <si>
    <t>TD-24-044</t>
  </si>
  <si>
    <t>2) Summary (on-hand by vaccine)</t>
  </si>
  <si>
    <t>Vaccine</t>
  </si>
  <si>
    <t>Total on-hand</t>
  </si>
  <si>
    <t>% of total</t>
  </si>
  <si>
    <t>3) Alerts (near expiry &amp; low stock)</t>
  </si>
  <si>
    <t>Note: rows highlight automatically. Use this section to filter and act (redistribute stock, prioritize use, or request replenishment).</t>
  </si>
  <si>
    <t>Flood Relief Budget Plan — Example (Seed Data)</t>
  </si>
  <si>
    <t>Example budget for a rapid flood response package. Replace quantities and rates with real procurement quotes.</t>
  </si>
  <si>
    <t>Base currency</t>
  </si>
  <si>
    <t>USD</t>
  </si>
  <si>
    <t>Contingency %</t>
  </si>
  <si>
    <t>Exchange rates (for reporting)</t>
  </si>
  <si>
    <t>USD→EUR</t>
  </si>
  <si>
    <t>USD→SEK</t>
  </si>
  <si>
    <t>USD→GBP</t>
  </si>
  <si>
    <t>1) Budget lines</t>
  </si>
  <si>
    <t>Shelter</t>
  </si>
  <si>
    <t>Emergency shelter kits (tarps + rope)</t>
  </si>
  <si>
    <t>kit</t>
  </si>
  <si>
    <t>WASH</t>
  </si>
  <si>
    <t>Water purification tablets (10k tabs)</t>
  </si>
  <si>
    <t>pack</t>
  </si>
  <si>
    <t>Jerry cans (20L)</t>
  </si>
  <si>
    <t>unit</t>
  </si>
  <si>
    <t>Health</t>
  </si>
  <si>
    <t>First aid kits</t>
  </si>
  <si>
    <t>Truck rental (4x4) — 2 weeks</t>
  </si>
  <si>
    <t>truck-week</t>
  </si>
  <si>
    <t>Fuel &amp; transport allowance</t>
  </si>
  <si>
    <t>lump-sum</t>
  </si>
  <si>
    <t>Staffing</t>
  </si>
  <si>
    <t>Field team per diem (12 staff × 14 days)</t>
  </si>
  <si>
    <t>day</t>
  </si>
  <si>
    <t>Community radio announcements</t>
  </si>
  <si>
    <t>spot</t>
  </si>
  <si>
    <t>2) Summary by category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</si>
</sst>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0.0"/>
    <numFmt numFmtId="166" formatCode="0.0%"/>
  </numFmts>
  <fonts count="12">
    <font>
      <sz val="11.0"/>
      <color theme="1"/>
      <name val="Calibri"/>
      <scheme val="minor"/>
    </font>
    <font>
      <b/>
      <sz val="16.0"/>
      <color rgb="FFFFFFFF"/>
      <name val="Calibri"/>
    </font>
    <font/>
    <font>
      <i/>
      <sz val="10.0"/>
      <color rgb="FF1F2937"/>
      <name val="Calibri"/>
    </font>
    <font>
      <b/>
      <sz val="11.0"/>
      <color rgb="FF1F2937"/>
      <name val="Calibri"/>
    </font>
    <font>
      <sz val="10.0"/>
      <color rgb="FF374151"/>
      <name val="Calibri"/>
    </font>
    <font>
      <b/>
      <sz val="10.0"/>
      <color rgb="FFFFFFFF"/>
      <name val="Calibri"/>
    </font>
    <font>
      <b/>
      <u/>
      <sz val="10.0"/>
      <color rgb="FF1D4ED8"/>
      <name val="Calibri"/>
    </font>
    <font>
      <b/>
      <sz val="10.0"/>
      <color rgb="FF1F2937"/>
      <name val="Calibri"/>
    </font>
    <font>
      <sz val="11.0"/>
      <color theme="1"/>
      <name val="Calibri"/>
    </font>
    <font>
      <b/>
      <u/>
      <sz val="10.0"/>
      <color rgb="FF1D4ED8"/>
      <name val="Calibri"/>
    </font>
    <font>
      <b/>
      <u/>
      <sz val="10.0"/>
      <color rgb="FF1D4ED8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4A90E2"/>
        <bgColor rgb="FF4A90E2"/>
      </patternFill>
    </fill>
    <fill>
      <patternFill patternType="solid">
        <fgColor rgb="FFE9F2FF"/>
        <bgColor rgb="FFE9F2FF"/>
      </patternFill>
    </fill>
    <fill>
      <patternFill patternType="solid">
        <fgColor rgb="FFF3F4F6"/>
        <bgColor rgb="FFF3F4F6"/>
      </patternFill>
    </fill>
    <fill>
      <patternFill patternType="solid">
        <fgColor rgb="FFFFFFFF"/>
        <bgColor rgb="FFFFFFFF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top style="thin">
        <color rgb="FFD1D5DB"/>
      </top>
      <bottom style="thin">
        <color rgb="FFD1D5DB"/>
      </bottom>
    </border>
    <border>
      <top style="thin">
        <color rgb="FFD1D5DB"/>
      </top>
      <bottom style="thin">
        <color rgb="FFD1D5DB"/>
      </bottom>
    </border>
    <border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shrinkToFit="0" vertical="center" wrapText="1"/>
    </xf>
    <xf borderId="4" fillId="3" fontId="4" numFmtId="0" xfId="0" applyAlignment="1" applyBorder="1" applyFont="1">
      <alignment horizontal="left" shrinkToFit="0" vertical="top" wrapText="1"/>
    </xf>
    <xf borderId="4" fillId="3" fontId="5" numFmtId="0" xfId="0" applyAlignment="1" applyBorder="1" applyFont="1">
      <alignment horizontal="left" shrinkToFit="0" vertical="top" wrapText="1"/>
    </xf>
    <xf borderId="1" fillId="4" fontId="4" numFmtId="0" xfId="0" applyAlignment="1" applyBorder="1" applyFill="1" applyFont="1">
      <alignment horizontal="left" vertical="center"/>
    </xf>
    <xf borderId="4" fillId="2" fontId="6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shrinkToFit="0" vertical="top" wrapText="1"/>
    </xf>
    <xf borderId="4" fillId="0" fontId="7" numFmtId="0" xfId="0" applyAlignment="1" applyBorder="1" applyFont="1">
      <alignment shrinkToFit="0" vertical="top" wrapText="1"/>
    </xf>
    <xf borderId="4" fillId="5" fontId="5" numFmtId="0" xfId="0" applyAlignment="1" applyBorder="1" applyFill="1" applyFont="1">
      <alignment horizontal="left" shrinkToFit="0" vertical="top" wrapText="1"/>
    </xf>
    <xf borderId="4" fillId="0" fontId="5" numFmtId="0" xfId="0" applyAlignment="1" applyBorder="1" applyFont="1">
      <alignment horizontal="left" shrinkToFit="0" vertical="top" wrapText="1"/>
    </xf>
    <xf borderId="4" fillId="0" fontId="5" numFmtId="3" xfId="0" applyAlignment="1" applyBorder="1" applyFont="1" applyNumberFormat="1">
      <alignment horizontal="right" vertical="top"/>
    </xf>
    <xf borderId="4" fillId="0" fontId="5" numFmtId="9" xfId="0" applyAlignment="1" applyBorder="1" applyFont="1" applyNumberFormat="1">
      <alignment horizontal="right" vertical="top"/>
    </xf>
    <xf borderId="4" fillId="0" fontId="5" numFmtId="1" xfId="0" applyAlignment="1" applyBorder="1" applyFont="1" applyNumberFormat="1">
      <alignment horizontal="right" vertical="top"/>
    </xf>
    <xf borderId="4" fillId="3" fontId="8" numFmtId="0" xfId="0" applyAlignment="1" applyBorder="1" applyFont="1">
      <alignment horizontal="left" shrinkToFit="0" vertical="top" wrapText="1"/>
    </xf>
    <xf borderId="4" fillId="3" fontId="9" numFmtId="0" xfId="0" applyBorder="1" applyFont="1"/>
    <xf borderId="4" fillId="3" fontId="8" numFmtId="3" xfId="0" applyBorder="1" applyFont="1" applyNumberFormat="1"/>
    <xf borderId="4" fillId="0" fontId="5" numFmtId="0" xfId="0" applyAlignment="1" applyBorder="1" applyFont="1">
      <alignment horizontal="right" vertical="top"/>
    </xf>
    <xf borderId="0" fillId="0" fontId="10" numFmtId="0" xfId="0" applyAlignment="1" applyFont="1">
      <alignment horizontal="left" shrinkToFit="0" vertical="top" wrapText="1"/>
    </xf>
    <xf borderId="4" fillId="0" fontId="5" numFmtId="164" xfId="0" applyAlignment="1" applyBorder="1" applyFont="1" applyNumberFormat="1">
      <alignment horizontal="right" vertical="top"/>
    </xf>
    <xf borderId="4" fillId="0" fontId="5" numFmtId="165" xfId="0" applyAlignment="1" applyBorder="1" applyFont="1" applyNumberFormat="1">
      <alignment horizontal="right" vertical="top"/>
    </xf>
    <xf borderId="4" fillId="0" fontId="5" numFmtId="166" xfId="0" applyAlignment="1" applyBorder="1" applyFont="1" applyNumberFormat="1">
      <alignment horizontal="right" vertical="top"/>
    </xf>
    <xf borderId="4" fillId="3" fontId="8" numFmtId="0" xfId="0" applyAlignment="1" applyBorder="1" applyFont="1">
      <alignment horizontal="left" vertical="top"/>
    </xf>
    <xf borderId="4" fillId="3" fontId="8" numFmtId="3" xfId="0" applyAlignment="1" applyBorder="1" applyFont="1" applyNumberFormat="1">
      <alignment horizontal="right" vertical="top"/>
    </xf>
    <xf borderId="4" fillId="3" fontId="8" numFmtId="166" xfId="0" applyAlignment="1" applyBorder="1" applyFont="1" applyNumberFormat="1">
      <alignment horizontal="right" vertical="top"/>
    </xf>
    <xf borderId="5" fillId="3" fontId="5" numFmtId="0" xfId="0" applyBorder="1" applyFont="1"/>
    <xf borderId="6" fillId="0" fontId="2" numFmtId="0" xfId="0" applyBorder="1" applyFont="1"/>
    <xf borderId="7" fillId="0" fontId="2" numFmtId="0" xfId="0" applyBorder="1" applyFont="1"/>
    <xf borderId="4" fillId="3" fontId="5" numFmtId="9" xfId="0" applyAlignment="1" applyBorder="1" applyFont="1" applyNumberFormat="1">
      <alignment horizontal="left" shrinkToFit="0" vertical="top" wrapText="1"/>
    </xf>
    <xf borderId="5" fillId="4" fontId="4" numFmtId="0" xfId="0" applyBorder="1" applyFont="1"/>
    <xf borderId="4" fillId="3" fontId="5" numFmtId="2" xfId="0" applyAlignment="1" applyBorder="1" applyFont="1" applyNumberFormat="1">
      <alignment horizontal="left" shrinkToFit="0" vertical="top" wrapText="1"/>
    </xf>
    <xf borderId="4" fillId="0" fontId="5" numFmtId="4" xfId="0" applyAlignment="1" applyBorder="1" applyFont="1" applyNumberFormat="1">
      <alignment horizontal="right" vertical="top"/>
    </xf>
    <xf borderId="4" fillId="3" fontId="9" numFmtId="0" xfId="0" applyAlignment="1" applyBorder="1" applyFont="1">
      <alignment horizontal="right" vertical="top"/>
    </xf>
    <xf borderId="4" fillId="3" fontId="9" numFmtId="4" xfId="0" applyAlignment="1" applyBorder="1" applyFont="1" applyNumberFormat="1">
      <alignment horizontal="right" vertical="top"/>
    </xf>
    <xf borderId="0" fillId="0" fontId="11" numFmtId="0" xfId="0" applyFont="1"/>
  </cellXfs>
  <cellStyles count="1">
    <cellStyle xfId="0" name="Normal" builtinId="0"/>
  </cellStyles>
  <dxfs count="2">
    <dxf>
      <font/>
      <fill>
        <patternFill patternType="solid">
          <fgColor rgb="FFFEE2E2"/>
          <bgColor rgb="FFFEE2E2"/>
        </patternFill>
      </fill>
      <border/>
    </dxf>
    <dxf>
      <font/>
      <fill>
        <patternFill patternType="solid">
          <fgColor rgb="FFFFF7ED"/>
          <bgColor rgb="FFFFF7E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On-hand doses by vaccine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'Inventory Report'!$B$17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'Inventory Report'!$A$17:$A$20</c:f>
            </c:strRef>
          </c:cat>
          <c:val>
            <c:numRef>
              <c:f>'Inventory Report'!$B$18:$B$20</c:f>
              <c:numCache/>
            </c:numRef>
          </c:val>
        </c:ser>
        <c:axId val="1426174588"/>
        <c:axId val="378462255"/>
      </c:barChart>
      <c:catAx>
        <c:axId val="14261745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Vaccine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8462255"/>
      </c:catAx>
      <c:valAx>
        <c:axId val="3784622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Doses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61745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Budget by category (USD)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'Flood Budget'!$B$20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'Flood Budget'!$A$21:$A$26</c:f>
            </c:strRef>
          </c:cat>
          <c:val>
            <c:numRef>
              <c:f>'Flood Budget'!$B$21:$B$26</c:f>
              <c:numCache/>
            </c:numRef>
          </c:val>
        </c:ser>
        <c:axId val="1353240063"/>
        <c:axId val="1924681823"/>
      </c:barChart>
      <c:catAx>
        <c:axId val="13532400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4681823"/>
      </c:catAx>
      <c:valAx>
        <c:axId val="19246818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USD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32400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16</xdr:row>
      <xdr:rowOff>0</xdr:rowOff>
    </xdr:from>
    <xdr:ext cx="5753100" cy="32385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19</xdr:row>
      <xdr:rowOff>0</xdr:rowOff>
    </xdr:from>
    <xdr:ext cx="5753100" cy="32385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A3AF"/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62.0"/>
    <col customWidth="1" min="3" max="6" width="18.0"/>
    <col customWidth="1" min="7" max="26" width="8.71"/>
  </cols>
  <sheetData>
    <row r="1" ht="30.0" customHeight="1">
      <c r="A1" s="1" t="s">
        <v>0</v>
      </c>
      <c r="B1" s="2"/>
      <c r="C1" s="2"/>
      <c r="D1" s="2"/>
      <c r="E1" s="2"/>
      <c r="F1" s="3"/>
    </row>
    <row r="2" ht="18.0" customHeight="1">
      <c r="A2" s="4" t="s">
        <v>1</v>
      </c>
      <c r="B2" s="2"/>
      <c r="C2" s="2"/>
      <c r="D2" s="2"/>
      <c r="E2" s="2"/>
      <c r="F2" s="3"/>
    </row>
    <row r="4">
      <c r="A4" s="5" t="s">
        <v>2</v>
      </c>
      <c r="B4" s="6" t="s">
        <v>3</v>
      </c>
    </row>
    <row r="5">
      <c r="A5" s="5" t="s">
        <v>4</v>
      </c>
      <c r="B5" s="6" t="s">
        <v>5</v>
      </c>
    </row>
    <row r="6">
      <c r="A6" s="5" t="s">
        <v>6</v>
      </c>
      <c r="B6" s="6" t="s">
        <v>7</v>
      </c>
    </row>
    <row r="8" ht="19.5" customHeight="1">
      <c r="A8" s="7" t="s">
        <v>8</v>
      </c>
      <c r="B8" s="2"/>
      <c r="C8" s="2"/>
      <c r="D8" s="3"/>
    </row>
    <row r="9" ht="18.0" customHeight="1">
      <c r="A9" s="8" t="s">
        <v>9</v>
      </c>
      <c r="B9" s="8" t="s">
        <v>10</v>
      </c>
      <c r="C9" s="8" t="s">
        <v>11</v>
      </c>
      <c r="D9" s="8" t="s">
        <v>12</v>
      </c>
    </row>
    <row r="10" ht="39.75" customHeight="1">
      <c r="A10" s="9" t="s">
        <v>13</v>
      </c>
      <c r="B10" s="9" t="s">
        <v>14</v>
      </c>
      <c r="C10" s="9" t="s">
        <v>5</v>
      </c>
      <c r="D10" s="10" t="s">
        <v>15</v>
      </c>
    </row>
    <row r="11" ht="39.75" customHeight="1">
      <c r="A11" s="9" t="s">
        <v>16</v>
      </c>
      <c r="B11" s="9" t="s">
        <v>17</v>
      </c>
      <c r="C11" s="9" t="s">
        <v>5</v>
      </c>
      <c r="D11" s="10" t="s">
        <v>15</v>
      </c>
    </row>
    <row r="12" ht="39.75" customHeight="1">
      <c r="A12" s="9" t="s">
        <v>18</v>
      </c>
      <c r="B12" s="9" t="s">
        <v>19</v>
      </c>
      <c r="C12" s="9" t="s">
        <v>5</v>
      </c>
      <c r="D12" s="10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F2"/>
    <mergeCell ref="A8:D8"/>
  </mergeCells>
  <hyperlinks>
    <hyperlink r:id="rId1" location="Vaccination Strategy!A1" ref="D10"/>
    <hyperlink r:id="rId2" location="Inventory Report!A1" ref="D11"/>
    <hyperlink r:id="rId3" location="Flood Budget!A1" ref="D12"/>
  </hyperlinks>
  <printOptions/>
  <pageMargins bottom="1.0" footer="0.0" header="0.0" left="0.75" right="0.75" top="1.0"/>
  <pageSetup orientation="landscape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90E2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6.0"/>
    <col customWidth="1" min="2" max="2" width="60.0"/>
    <col customWidth="1" min="3" max="4" width="16.0"/>
    <col customWidth="1" min="5" max="8" width="18.0"/>
    <col customWidth="1" min="9" max="26" width="8.71"/>
  </cols>
  <sheetData>
    <row r="1" ht="30.0" customHeight="1">
      <c r="A1" s="1" t="s">
        <v>20</v>
      </c>
      <c r="B1" s="2"/>
      <c r="C1" s="2"/>
      <c r="D1" s="2"/>
      <c r="E1" s="2"/>
      <c r="F1" s="2"/>
      <c r="G1" s="2"/>
      <c r="H1" s="3"/>
    </row>
    <row r="2" ht="18.0" customHeight="1">
      <c r="A2" s="4" t="s">
        <v>21</v>
      </c>
      <c r="B2" s="2"/>
      <c r="C2" s="2"/>
      <c r="D2" s="2"/>
      <c r="E2" s="2"/>
      <c r="F2" s="2"/>
      <c r="G2" s="2"/>
      <c r="H2" s="3"/>
    </row>
    <row r="4" ht="19.5" customHeight="1">
      <c r="A4" s="7" t="s">
        <v>22</v>
      </c>
      <c r="B4" s="2"/>
      <c r="C4" s="2"/>
      <c r="D4" s="2"/>
      <c r="E4" s="2"/>
      <c r="F4" s="3"/>
    </row>
    <row r="5" ht="31.5" customHeight="1">
      <c r="A5" s="5" t="s">
        <v>23</v>
      </c>
      <c r="B5" s="11" t="s">
        <v>24</v>
      </c>
    </row>
    <row r="6" ht="31.5" customHeight="1">
      <c r="A6" s="5" t="s">
        <v>25</v>
      </c>
      <c r="B6" s="11" t="s">
        <v>26</v>
      </c>
    </row>
    <row r="7" ht="31.5" customHeight="1">
      <c r="A7" s="5" t="s">
        <v>27</v>
      </c>
      <c r="B7" s="11" t="s">
        <v>28</v>
      </c>
    </row>
    <row r="8" ht="31.5" customHeight="1">
      <c r="A8" s="5" t="s">
        <v>29</v>
      </c>
      <c r="B8" s="11" t="s">
        <v>30</v>
      </c>
    </row>
    <row r="9" ht="31.5" customHeight="1">
      <c r="A9" s="5" t="s">
        <v>31</v>
      </c>
      <c r="B9" s="11" t="s">
        <v>32</v>
      </c>
    </row>
    <row r="11" ht="19.5" customHeight="1">
      <c r="A11" s="7" t="s">
        <v>33</v>
      </c>
      <c r="B11" s="2"/>
      <c r="C11" s="2"/>
      <c r="D11" s="2"/>
      <c r="E11" s="2"/>
      <c r="F11" s="2"/>
      <c r="G11" s="2"/>
      <c r="H11" s="3"/>
    </row>
    <row r="12" ht="18.0" customHeight="1">
      <c r="A12" s="8" t="s">
        <v>34</v>
      </c>
      <c r="B12" s="8" t="s">
        <v>35</v>
      </c>
      <c r="C12" s="8" t="s">
        <v>36</v>
      </c>
      <c r="D12" s="8" t="s">
        <v>37</v>
      </c>
      <c r="E12" s="8" t="s">
        <v>38</v>
      </c>
      <c r="F12" s="8" t="s">
        <v>39</v>
      </c>
      <c r="G12" s="8" t="s">
        <v>6</v>
      </c>
      <c r="H12" s="8" t="s">
        <v>40</v>
      </c>
    </row>
    <row r="13" ht="27.75" customHeight="1">
      <c r="A13" s="12" t="s">
        <v>41</v>
      </c>
      <c r="B13" s="13">
        <v>18200.0</v>
      </c>
      <c r="C13" s="14">
        <v>0.9</v>
      </c>
      <c r="D13" s="15">
        <v>1.0</v>
      </c>
      <c r="E13" s="13">
        <f t="shared" ref="E13:E16" si="1">B13*C13*D13</f>
        <v>16380</v>
      </c>
      <c r="F13" s="12" t="s">
        <v>42</v>
      </c>
      <c r="G13" s="12" t="s">
        <v>43</v>
      </c>
      <c r="H13" s="12" t="s">
        <v>44</v>
      </c>
    </row>
    <row r="14" ht="27.75" customHeight="1">
      <c r="A14" s="12" t="s">
        <v>45</v>
      </c>
      <c r="B14" s="13">
        <v>4200.0</v>
      </c>
      <c r="C14" s="14">
        <v>0.85</v>
      </c>
      <c r="D14" s="15">
        <v>1.0</v>
      </c>
      <c r="E14" s="13">
        <f t="shared" si="1"/>
        <v>3570</v>
      </c>
      <c r="F14" s="12" t="s">
        <v>46</v>
      </c>
      <c r="G14" s="12" t="s">
        <v>47</v>
      </c>
      <c r="H14" s="12" t="s">
        <v>48</v>
      </c>
    </row>
    <row r="15" ht="27.75" customHeight="1">
      <c r="A15" s="12" t="s">
        <v>49</v>
      </c>
      <c r="B15" s="13">
        <v>860.0</v>
      </c>
      <c r="C15" s="14">
        <v>0.95</v>
      </c>
      <c r="D15" s="15">
        <v>1.0</v>
      </c>
      <c r="E15" s="13">
        <f t="shared" si="1"/>
        <v>817</v>
      </c>
      <c r="F15" s="12" t="s">
        <v>50</v>
      </c>
      <c r="G15" s="12" t="s">
        <v>51</v>
      </c>
      <c r="H15" s="12" t="s">
        <v>52</v>
      </c>
    </row>
    <row r="16" ht="27.75" customHeight="1">
      <c r="A16" s="12" t="s">
        <v>53</v>
      </c>
      <c r="B16" s="13">
        <v>5200.0</v>
      </c>
      <c r="C16" s="14">
        <v>0.8</v>
      </c>
      <c r="D16" s="15">
        <v>1.0</v>
      </c>
      <c r="E16" s="13">
        <f t="shared" si="1"/>
        <v>4160</v>
      </c>
      <c r="F16" s="12" t="s">
        <v>54</v>
      </c>
      <c r="G16" s="12" t="s">
        <v>55</v>
      </c>
      <c r="H16" s="12" t="s">
        <v>56</v>
      </c>
    </row>
    <row r="17" ht="21.75" customHeight="1">
      <c r="A17" s="16" t="s">
        <v>57</v>
      </c>
      <c r="B17" s="17"/>
      <c r="C17" s="17"/>
      <c r="D17" s="17"/>
      <c r="E17" s="18">
        <f>SUM(E13:E16)</f>
        <v>24927</v>
      </c>
      <c r="F17" s="17"/>
      <c r="G17" s="17"/>
      <c r="H17" s="17"/>
    </row>
    <row r="19" ht="19.5" customHeight="1">
      <c r="A19" s="7" t="s">
        <v>58</v>
      </c>
      <c r="B19" s="2"/>
      <c r="C19" s="2"/>
      <c r="D19" s="2"/>
      <c r="E19" s="2"/>
      <c r="F19" s="2"/>
      <c r="G19" s="2"/>
      <c r="H19" s="3"/>
    </row>
    <row r="20" ht="18.0" customHeight="1">
      <c r="A20" s="8" t="s">
        <v>59</v>
      </c>
      <c r="B20" s="8" t="s">
        <v>60</v>
      </c>
      <c r="C20" s="8" t="s">
        <v>61</v>
      </c>
      <c r="D20" s="8" t="s">
        <v>62</v>
      </c>
      <c r="E20" s="8" t="s">
        <v>63</v>
      </c>
      <c r="F20" s="8" t="s">
        <v>40</v>
      </c>
      <c r="G20" s="8" t="s">
        <v>64</v>
      </c>
      <c r="H20" s="8" t="s">
        <v>65</v>
      </c>
    </row>
    <row r="21" ht="43.5" customHeight="1">
      <c r="A21" s="19">
        <v>1.0</v>
      </c>
      <c r="B21" s="12" t="s">
        <v>66</v>
      </c>
      <c r="C21" s="12" t="s">
        <v>67</v>
      </c>
      <c r="D21" s="12" t="s">
        <v>68</v>
      </c>
      <c r="E21" s="12" t="s">
        <v>69</v>
      </c>
      <c r="F21" s="12" t="s">
        <v>70</v>
      </c>
      <c r="G21" s="12" t="s">
        <v>71</v>
      </c>
      <c r="H21" s="12" t="s">
        <v>72</v>
      </c>
    </row>
    <row r="22" ht="43.5" customHeight="1">
      <c r="A22" s="19">
        <v>2.0</v>
      </c>
      <c r="B22" s="12" t="s">
        <v>73</v>
      </c>
      <c r="C22" s="12" t="s">
        <v>67</v>
      </c>
      <c r="D22" s="12" t="s">
        <v>74</v>
      </c>
      <c r="E22" s="12" t="s">
        <v>75</v>
      </c>
      <c r="F22" s="12" t="s">
        <v>70</v>
      </c>
      <c r="G22" s="12" t="s">
        <v>71</v>
      </c>
      <c r="H22" s="12" t="s">
        <v>72</v>
      </c>
    </row>
    <row r="23" ht="43.5" customHeight="1">
      <c r="A23" s="19">
        <v>3.0</v>
      </c>
      <c r="B23" s="12" t="s">
        <v>76</v>
      </c>
      <c r="C23" s="12" t="s">
        <v>77</v>
      </c>
      <c r="D23" s="12" t="s">
        <v>78</v>
      </c>
      <c r="E23" s="12" t="s">
        <v>79</v>
      </c>
      <c r="F23" s="12" t="s">
        <v>70</v>
      </c>
      <c r="G23" s="12" t="s">
        <v>71</v>
      </c>
      <c r="H23" s="12" t="s">
        <v>72</v>
      </c>
    </row>
    <row r="24" ht="43.5" customHeight="1">
      <c r="A24" s="19">
        <v>4.0</v>
      </c>
      <c r="B24" s="12" t="s">
        <v>80</v>
      </c>
      <c r="C24" s="12" t="s">
        <v>77</v>
      </c>
      <c r="D24" s="12" t="s">
        <v>78</v>
      </c>
      <c r="E24" s="12" t="s">
        <v>79</v>
      </c>
      <c r="F24" s="12" t="s">
        <v>70</v>
      </c>
      <c r="G24" s="12" t="s">
        <v>71</v>
      </c>
      <c r="H24" s="12" t="s">
        <v>72</v>
      </c>
    </row>
    <row r="25" ht="43.5" customHeight="1">
      <c r="A25" s="19">
        <v>5.0</v>
      </c>
      <c r="B25" s="12" t="s">
        <v>81</v>
      </c>
      <c r="C25" s="12" t="s">
        <v>77</v>
      </c>
      <c r="D25" s="12" t="s">
        <v>78</v>
      </c>
      <c r="E25" s="12" t="s">
        <v>79</v>
      </c>
      <c r="F25" s="12" t="s">
        <v>70</v>
      </c>
      <c r="G25" s="12" t="s">
        <v>71</v>
      </c>
      <c r="H25" s="12" t="s">
        <v>72</v>
      </c>
    </row>
    <row r="26" ht="43.5" customHeight="1">
      <c r="A26" s="19">
        <v>6.0</v>
      </c>
      <c r="B26" s="12" t="s">
        <v>82</v>
      </c>
      <c r="C26" s="12" t="s">
        <v>83</v>
      </c>
      <c r="D26" s="12" t="s">
        <v>84</v>
      </c>
      <c r="E26" s="12" t="s">
        <v>85</v>
      </c>
      <c r="F26" s="12" t="s">
        <v>70</v>
      </c>
      <c r="G26" s="12" t="s">
        <v>71</v>
      </c>
      <c r="H26" s="12" t="s">
        <v>72</v>
      </c>
    </row>
    <row r="27" ht="43.5" customHeight="1">
      <c r="A27" s="19">
        <v>7.0</v>
      </c>
      <c r="B27" s="12" t="s">
        <v>86</v>
      </c>
      <c r="C27" s="12" t="s">
        <v>83</v>
      </c>
      <c r="D27" s="12" t="s">
        <v>84</v>
      </c>
      <c r="E27" s="12" t="s">
        <v>85</v>
      </c>
      <c r="F27" s="12" t="s">
        <v>70</v>
      </c>
      <c r="G27" s="12" t="s">
        <v>71</v>
      </c>
      <c r="H27" s="12" t="s">
        <v>72</v>
      </c>
    </row>
    <row r="28" ht="43.5" customHeight="1">
      <c r="A28" s="19">
        <v>8.0</v>
      </c>
      <c r="B28" s="12" t="s">
        <v>87</v>
      </c>
      <c r="C28" s="12" t="s">
        <v>83</v>
      </c>
      <c r="D28" s="12" t="s">
        <v>84</v>
      </c>
      <c r="E28" s="12" t="s">
        <v>85</v>
      </c>
      <c r="F28" s="12" t="s">
        <v>70</v>
      </c>
      <c r="G28" s="12" t="s">
        <v>71</v>
      </c>
      <c r="H28" s="12" t="s">
        <v>72</v>
      </c>
    </row>
    <row r="29" ht="43.5" customHeight="1">
      <c r="A29" s="19">
        <v>9.0</v>
      </c>
      <c r="B29" s="12" t="s">
        <v>88</v>
      </c>
      <c r="C29" s="12" t="s">
        <v>89</v>
      </c>
      <c r="D29" s="12" t="s">
        <v>90</v>
      </c>
      <c r="E29" s="12" t="s">
        <v>91</v>
      </c>
      <c r="F29" s="12" t="s">
        <v>70</v>
      </c>
      <c r="G29" s="12" t="s">
        <v>71</v>
      </c>
      <c r="H29" s="12" t="s">
        <v>72</v>
      </c>
    </row>
    <row r="30" ht="43.5" customHeight="1">
      <c r="A30" s="19">
        <v>10.0</v>
      </c>
      <c r="B30" s="12" t="s">
        <v>92</v>
      </c>
      <c r="C30" s="12" t="s">
        <v>89</v>
      </c>
      <c r="D30" s="12" t="s">
        <v>90</v>
      </c>
      <c r="E30" s="12" t="s">
        <v>91</v>
      </c>
      <c r="F30" s="12" t="s">
        <v>70</v>
      </c>
      <c r="G30" s="12" t="s">
        <v>71</v>
      </c>
      <c r="H30" s="12" t="s">
        <v>72</v>
      </c>
    </row>
    <row r="31" ht="43.5" customHeight="1">
      <c r="A31" s="19">
        <v>11.0</v>
      </c>
      <c r="B31" s="12" t="s">
        <v>93</v>
      </c>
      <c r="C31" s="12" t="s">
        <v>94</v>
      </c>
      <c r="D31" s="12" t="s">
        <v>95</v>
      </c>
      <c r="E31" s="12" t="s">
        <v>96</v>
      </c>
      <c r="F31" s="12" t="s">
        <v>70</v>
      </c>
      <c r="G31" s="12" t="s">
        <v>71</v>
      </c>
      <c r="H31" s="12" t="s">
        <v>72</v>
      </c>
    </row>
    <row r="32" ht="43.5" customHeight="1">
      <c r="A32" s="19">
        <v>12.0</v>
      </c>
      <c r="B32" s="12" t="s">
        <v>97</v>
      </c>
      <c r="C32" s="12" t="s">
        <v>94</v>
      </c>
      <c r="D32" s="12" t="s">
        <v>95</v>
      </c>
      <c r="E32" s="12" t="s">
        <v>96</v>
      </c>
      <c r="F32" s="12" t="s">
        <v>70</v>
      </c>
      <c r="G32" s="12" t="s">
        <v>71</v>
      </c>
      <c r="H32" s="12" t="s">
        <v>72</v>
      </c>
    </row>
    <row r="33" ht="15.75" customHeight="1"/>
    <row r="34" ht="19.5" customHeight="1">
      <c r="A34" s="7" t="s">
        <v>98</v>
      </c>
      <c r="B34" s="2"/>
      <c r="C34" s="2"/>
      <c r="D34" s="2"/>
      <c r="E34" s="2"/>
      <c r="F34" s="2"/>
      <c r="G34" s="2"/>
      <c r="H34" s="3"/>
    </row>
    <row r="35" ht="18.0" customHeight="1">
      <c r="A35" s="8"/>
      <c r="B35" s="8"/>
      <c r="C35" s="8"/>
      <c r="D35" s="8"/>
      <c r="E35" s="8"/>
      <c r="F35" s="8"/>
      <c r="G35" s="8"/>
      <c r="H35" s="8"/>
    </row>
    <row r="36" ht="37.5" customHeight="1">
      <c r="A36" s="12" t="s">
        <v>44</v>
      </c>
      <c r="B36" s="19">
        <v>1.0</v>
      </c>
      <c r="C36" s="12" t="s">
        <v>99</v>
      </c>
      <c r="D36" s="12" t="s">
        <v>100</v>
      </c>
      <c r="E36" s="12" t="s">
        <v>101</v>
      </c>
      <c r="F36" s="12" t="s">
        <v>102</v>
      </c>
      <c r="G36" s="12" t="s">
        <v>103</v>
      </c>
      <c r="H36" s="12" t="s">
        <v>104</v>
      </c>
    </row>
    <row r="37" ht="37.5" customHeight="1">
      <c r="A37" s="12" t="s">
        <v>105</v>
      </c>
      <c r="B37" s="19">
        <v>2.0</v>
      </c>
      <c r="C37" s="12" t="s">
        <v>106</v>
      </c>
      <c r="D37" s="12" t="s">
        <v>107</v>
      </c>
      <c r="E37" s="12" t="s">
        <v>108</v>
      </c>
      <c r="F37" s="12" t="s">
        <v>109</v>
      </c>
      <c r="G37" s="12" t="s">
        <v>110</v>
      </c>
      <c r="H37" s="12" t="s">
        <v>111</v>
      </c>
    </row>
    <row r="38" ht="37.5" customHeight="1">
      <c r="A38" s="12" t="s">
        <v>112</v>
      </c>
      <c r="B38" s="19">
        <v>12.0</v>
      </c>
      <c r="C38" s="12" t="s">
        <v>113</v>
      </c>
      <c r="D38" s="12" t="s">
        <v>114</v>
      </c>
      <c r="E38" s="12" t="s">
        <v>115</v>
      </c>
      <c r="F38" s="12" t="s">
        <v>116</v>
      </c>
      <c r="G38" s="12" t="s">
        <v>117</v>
      </c>
      <c r="H38" s="12" t="s">
        <v>118</v>
      </c>
    </row>
    <row r="39" ht="37.5" customHeight="1">
      <c r="A39" s="12" t="s">
        <v>119</v>
      </c>
      <c r="B39" s="19">
        <v>18.0</v>
      </c>
      <c r="C39" s="12" t="s">
        <v>120</v>
      </c>
      <c r="D39" s="12" t="s">
        <v>121</v>
      </c>
      <c r="E39" s="12" t="s">
        <v>122</v>
      </c>
      <c r="F39" s="12" t="s">
        <v>123</v>
      </c>
      <c r="G39" s="12" t="s">
        <v>124</v>
      </c>
      <c r="H39" s="12" t="s">
        <v>56</v>
      </c>
    </row>
    <row r="40" ht="15.75" customHeight="1"/>
    <row r="41" ht="19.5" customHeight="1">
      <c r="A41" s="7" t="s">
        <v>125</v>
      </c>
      <c r="B41" s="2"/>
      <c r="C41" s="2"/>
      <c r="D41" s="2"/>
      <c r="E41" s="2"/>
      <c r="F41" s="2"/>
      <c r="G41" s="2"/>
      <c r="H41" s="3"/>
    </row>
    <row r="42" ht="18.0" customHeight="1">
      <c r="A42" s="8"/>
      <c r="B42" s="8"/>
      <c r="C42" s="8"/>
      <c r="D42" s="8"/>
      <c r="E42" s="8"/>
      <c r="F42" s="8"/>
      <c r="G42" s="8"/>
      <c r="H42" s="8"/>
    </row>
    <row r="43" ht="33.75" customHeight="1">
      <c r="A43" s="12" t="s">
        <v>126</v>
      </c>
      <c r="B43" s="12" t="s">
        <v>127</v>
      </c>
      <c r="C43" s="12" t="s">
        <v>128</v>
      </c>
      <c r="D43" s="12" t="s">
        <v>129</v>
      </c>
      <c r="E43" s="12" t="s">
        <v>130</v>
      </c>
      <c r="F43" s="12" t="s">
        <v>131</v>
      </c>
      <c r="G43" s="12" t="s">
        <v>132</v>
      </c>
      <c r="H43" s="12" t="s">
        <v>72</v>
      </c>
    </row>
    <row r="44" ht="33.75" customHeight="1">
      <c r="A44" s="12" t="s">
        <v>133</v>
      </c>
      <c r="B44" s="12" t="s">
        <v>134</v>
      </c>
      <c r="C44" s="12" t="s">
        <v>135</v>
      </c>
      <c r="D44" s="12" t="s">
        <v>136</v>
      </c>
      <c r="E44" s="12" t="s">
        <v>137</v>
      </c>
      <c r="F44" s="12" t="s">
        <v>111</v>
      </c>
      <c r="G44" s="12" t="s">
        <v>138</v>
      </c>
      <c r="H44" s="12" t="s">
        <v>72</v>
      </c>
    </row>
    <row r="45" ht="33.75" customHeight="1">
      <c r="A45" s="12" t="s">
        <v>139</v>
      </c>
      <c r="B45" s="12" t="s">
        <v>140</v>
      </c>
      <c r="C45" s="12" t="s">
        <v>141</v>
      </c>
      <c r="D45" s="12" t="s">
        <v>142</v>
      </c>
      <c r="E45" s="12" t="s">
        <v>130</v>
      </c>
      <c r="F45" s="12" t="s">
        <v>44</v>
      </c>
      <c r="G45" s="12" t="s">
        <v>143</v>
      </c>
      <c r="H45" s="12" t="s">
        <v>144</v>
      </c>
    </row>
    <row r="46" ht="33.75" customHeight="1">
      <c r="A46" s="12" t="s">
        <v>145</v>
      </c>
      <c r="B46" s="12" t="s">
        <v>146</v>
      </c>
      <c r="C46" s="12" t="s">
        <v>147</v>
      </c>
      <c r="D46" s="12" t="s">
        <v>148</v>
      </c>
      <c r="E46" s="12" t="s">
        <v>137</v>
      </c>
      <c r="F46" s="12" t="s">
        <v>149</v>
      </c>
      <c r="G46" s="12" t="s">
        <v>150</v>
      </c>
      <c r="H46" s="12" t="s">
        <v>72</v>
      </c>
    </row>
    <row r="47" ht="15.75" customHeight="1"/>
    <row r="48" ht="19.5" customHeight="1">
      <c r="A48" s="7" t="s">
        <v>151</v>
      </c>
      <c r="B48" s="2"/>
      <c r="C48" s="2"/>
      <c r="D48" s="2"/>
      <c r="E48" s="2"/>
      <c r="F48" s="2"/>
      <c r="G48" s="2"/>
      <c r="H48" s="3"/>
    </row>
    <row r="49" ht="18.0" customHeight="1">
      <c r="A49" s="8"/>
      <c r="B49" s="8"/>
      <c r="C49" s="8"/>
      <c r="D49" s="8"/>
      <c r="E49" s="8"/>
      <c r="F49" s="8"/>
      <c r="G49" s="8"/>
      <c r="H49" s="8"/>
    </row>
    <row r="50" ht="45.75" customHeight="1">
      <c r="A50" s="12" t="s">
        <v>152</v>
      </c>
      <c r="B50" s="12" t="s">
        <v>153</v>
      </c>
      <c r="C50" s="12" t="s">
        <v>154</v>
      </c>
      <c r="D50" s="12" t="s">
        <v>155</v>
      </c>
      <c r="E50" s="12" t="s">
        <v>156</v>
      </c>
      <c r="F50" s="12" t="s">
        <v>157</v>
      </c>
      <c r="G50" s="12" t="s">
        <v>158</v>
      </c>
      <c r="H50" s="12" t="s">
        <v>159</v>
      </c>
    </row>
    <row r="51" ht="45.75" customHeight="1">
      <c r="A51" s="12" t="s">
        <v>160</v>
      </c>
      <c r="B51" s="12" t="s">
        <v>153</v>
      </c>
      <c r="C51" s="12" t="s">
        <v>153</v>
      </c>
      <c r="D51" s="12" t="s">
        <v>161</v>
      </c>
      <c r="E51" s="12" t="s">
        <v>162</v>
      </c>
      <c r="F51" s="12" t="s">
        <v>56</v>
      </c>
      <c r="G51" s="12" t="s">
        <v>163</v>
      </c>
      <c r="H51" s="12" t="s">
        <v>164</v>
      </c>
    </row>
    <row r="52" ht="45.75" customHeight="1">
      <c r="A52" s="12" t="s">
        <v>165</v>
      </c>
      <c r="B52" s="12" t="s">
        <v>166</v>
      </c>
      <c r="C52" s="12" t="s">
        <v>154</v>
      </c>
      <c r="D52" s="12" t="s">
        <v>167</v>
      </c>
      <c r="E52" s="12" t="s">
        <v>168</v>
      </c>
      <c r="F52" s="12" t="s">
        <v>169</v>
      </c>
      <c r="G52" s="12" t="s">
        <v>170</v>
      </c>
      <c r="H52" s="12" t="s">
        <v>171</v>
      </c>
    </row>
    <row r="53" ht="45.75" customHeight="1">
      <c r="A53" s="12" t="s">
        <v>172</v>
      </c>
      <c r="B53" s="12" t="s">
        <v>153</v>
      </c>
      <c r="C53" s="12" t="s">
        <v>153</v>
      </c>
      <c r="D53" s="12" t="s">
        <v>173</v>
      </c>
      <c r="E53" s="12" t="s">
        <v>174</v>
      </c>
      <c r="F53" s="12" t="s">
        <v>175</v>
      </c>
      <c r="G53" s="12" t="s">
        <v>176</v>
      </c>
      <c r="H53" s="12" t="s">
        <v>177</v>
      </c>
    </row>
    <row r="54" ht="15.75" customHeight="1"/>
    <row r="55" ht="15.75" customHeight="1">
      <c r="A55" s="20" t="s">
        <v>178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1"/>
    <mergeCell ref="A2:H2"/>
    <mergeCell ref="A4:F4"/>
    <mergeCell ref="A11:H11"/>
    <mergeCell ref="A19:H19"/>
    <mergeCell ref="A34:H34"/>
    <mergeCell ref="A41:H41"/>
    <mergeCell ref="A48:H48"/>
  </mergeCells>
  <hyperlinks>
    <hyperlink r:id="rId1" location="INDEX!A1" ref="A55"/>
  </hyperlinks>
  <printOptions/>
  <pageMargins bottom="1.0" footer="0.0" header="0.0" left="0.75" right="0.75" top="1.0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90E2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3" width="18.0"/>
    <col customWidth="1" min="4" max="4" width="16.0"/>
    <col customWidth="1" min="5" max="10" width="14.0"/>
    <col customWidth="1" min="11" max="11" width="16.0"/>
    <col customWidth="1" min="12" max="12" width="18.0"/>
    <col customWidth="1" min="13" max="26" width="8.71"/>
  </cols>
  <sheetData>
    <row r="1" ht="30.0" customHeight="1">
      <c r="A1" s="1" t="s">
        <v>179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8.0" customHeight="1">
      <c r="A2" s="4" t="s">
        <v>180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4">
      <c r="A4" s="5" t="s">
        <v>181</v>
      </c>
      <c r="B4" s="6">
        <v>7.0</v>
      </c>
      <c r="D4" s="5" t="s">
        <v>182</v>
      </c>
      <c r="E4" s="6" t="s">
        <v>5</v>
      </c>
    </row>
    <row r="5" ht="19.5" customHeight="1">
      <c r="A5" s="7" t="s">
        <v>183</v>
      </c>
      <c r="B5" s="2"/>
      <c r="C5" s="2"/>
      <c r="D5" s="2"/>
      <c r="E5" s="2"/>
      <c r="F5" s="2"/>
      <c r="G5" s="2"/>
      <c r="H5" s="2"/>
      <c r="I5" s="2"/>
      <c r="J5" s="2"/>
      <c r="K5" s="2"/>
      <c r="L5" s="3"/>
    </row>
    <row r="6" ht="18.0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ht="21.75" customHeight="1">
      <c r="A7" s="12" t="s">
        <v>184</v>
      </c>
      <c r="B7" s="12" t="s">
        <v>185</v>
      </c>
      <c r="C7" s="12" t="s">
        <v>186</v>
      </c>
      <c r="D7" s="21">
        <v>46173.0</v>
      </c>
      <c r="E7" s="13">
        <v>5200.0</v>
      </c>
      <c r="F7" s="13">
        <v>1200.0</v>
      </c>
      <c r="G7" s="13">
        <v>950.0</v>
      </c>
      <c r="H7" s="13">
        <v>20.0</v>
      </c>
      <c r="I7" s="13">
        <v>0.0</v>
      </c>
      <c r="J7" s="13">
        <f t="shared" ref="J7:J12" si="1">E7+F7-G7-H7+I7</f>
        <v>5430</v>
      </c>
      <c r="K7" s="22">
        <f t="shared" ref="K7:K12" si="2">IF($B$4&gt;0,G7/$B$4,0)</f>
        <v>135.7142857</v>
      </c>
      <c r="L7" s="22">
        <f t="shared" ref="L7:L12" si="3">IF(K7&gt;0,J7/K7,"")</f>
        <v>40.01052632</v>
      </c>
    </row>
    <row r="8" ht="21.75" customHeight="1">
      <c r="A8" s="12" t="s">
        <v>184</v>
      </c>
      <c r="B8" s="12" t="s">
        <v>187</v>
      </c>
      <c r="C8" s="12" t="s">
        <v>188</v>
      </c>
      <c r="D8" s="21">
        <v>46243.0</v>
      </c>
      <c r="E8" s="13">
        <v>4100.0</v>
      </c>
      <c r="F8" s="13">
        <v>800.0</v>
      </c>
      <c r="G8" s="13">
        <v>720.0</v>
      </c>
      <c r="H8" s="13">
        <v>18.0</v>
      </c>
      <c r="I8" s="13">
        <v>-10.0</v>
      </c>
      <c r="J8" s="13">
        <f t="shared" si="1"/>
        <v>4152</v>
      </c>
      <c r="K8" s="22">
        <f t="shared" si="2"/>
        <v>102.8571429</v>
      </c>
      <c r="L8" s="22">
        <f t="shared" si="3"/>
        <v>40.36666667</v>
      </c>
    </row>
    <row r="9" ht="21.75" customHeight="1">
      <c r="A9" s="12" t="s">
        <v>189</v>
      </c>
      <c r="B9" s="12" t="s">
        <v>185</v>
      </c>
      <c r="C9" s="12" t="s">
        <v>190</v>
      </c>
      <c r="D9" s="21">
        <v>46088.0</v>
      </c>
      <c r="E9" s="13">
        <v>850.0</v>
      </c>
      <c r="F9" s="13">
        <v>300.0</v>
      </c>
      <c r="G9" s="13">
        <v>260.0</v>
      </c>
      <c r="H9" s="13">
        <v>8.0</v>
      </c>
      <c r="I9" s="13">
        <v>0.0</v>
      </c>
      <c r="J9" s="13">
        <f t="shared" si="1"/>
        <v>882</v>
      </c>
      <c r="K9" s="22">
        <f t="shared" si="2"/>
        <v>37.14285714</v>
      </c>
      <c r="L9" s="22">
        <f t="shared" si="3"/>
        <v>23.74615385</v>
      </c>
    </row>
    <row r="10" ht="21.75" customHeight="1">
      <c r="A10" s="12" t="s">
        <v>189</v>
      </c>
      <c r="B10" s="12" t="s">
        <v>191</v>
      </c>
      <c r="C10" s="12" t="s">
        <v>192</v>
      </c>
      <c r="D10" s="21">
        <v>46123.0</v>
      </c>
      <c r="E10" s="13">
        <v>1200.0</v>
      </c>
      <c r="F10" s="13">
        <v>0.0</v>
      </c>
      <c r="G10" s="13">
        <v>310.0</v>
      </c>
      <c r="H10" s="13">
        <v>6.0</v>
      </c>
      <c r="I10" s="13">
        <v>0.0</v>
      </c>
      <c r="J10" s="13">
        <f t="shared" si="1"/>
        <v>884</v>
      </c>
      <c r="K10" s="22">
        <f t="shared" si="2"/>
        <v>44.28571429</v>
      </c>
      <c r="L10" s="22">
        <f t="shared" si="3"/>
        <v>19.96129032</v>
      </c>
    </row>
    <row r="11" ht="21.75" customHeight="1">
      <c r="A11" s="12" t="s">
        <v>193</v>
      </c>
      <c r="B11" s="12" t="s">
        <v>187</v>
      </c>
      <c r="C11" s="12" t="s">
        <v>194</v>
      </c>
      <c r="D11" s="21">
        <v>46068.0</v>
      </c>
      <c r="E11" s="13">
        <v>620.0</v>
      </c>
      <c r="F11" s="13">
        <v>200.0</v>
      </c>
      <c r="G11" s="13">
        <v>260.0</v>
      </c>
      <c r="H11" s="13">
        <v>7.0</v>
      </c>
      <c r="I11" s="13">
        <v>0.0</v>
      </c>
      <c r="J11" s="13">
        <f t="shared" si="1"/>
        <v>553</v>
      </c>
      <c r="K11" s="22">
        <f t="shared" si="2"/>
        <v>37.14285714</v>
      </c>
      <c r="L11" s="22">
        <f t="shared" si="3"/>
        <v>14.88846154</v>
      </c>
    </row>
    <row r="12" ht="21.75" customHeight="1">
      <c r="A12" s="12" t="s">
        <v>195</v>
      </c>
      <c r="B12" s="12" t="s">
        <v>196</v>
      </c>
      <c r="C12" s="12" t="s">
        <v>197</v>
      </c>
      <c r="D12" s="21">
        <v>46193.0</v>
      </c>
      <c r="E12" s="13">
        <v>400.0</v>
      </c>
      <c r="F12" s="13">
        <v>250.0</v>
      </c>
      <c r="G12" s="13">
        <v>180.0</v>
      </c>
      <c r="H12" s="13">
        <v>4.0</v>
      </c>
      <c r="I12" s="13">
        <v>0.0</v>
      </c>
      <c r="J12" s="13">
        <f t="shared" si="1"/>
        <v>466</v>
      </c>
      <c r="K12" s="22">
        <f t="shared" si="2"/>
        <v>25.71428571</v>
      </c>
      <c r="L12" s="22">
        <f t="shared" si="3"/>
        <v>18.12222222</v>
      </c>
    </row>
    <row r="15" ht="19.5" customHeight="1">
      <c r="A15" s="7" t="s">
        <v>198</v>
      </c>
      <c r="B15" s="2"/>
      <c r="C15" s="2"/>
      <c r="D15" s="2"/>
      <c r="E15" s="2"/>
      <c r="F15" s="2"/>
      <c r="G15" s="3"/>
    </row>
    <row r="16" ht="18.0" customHeight="1">
      <c r="A16" s="8" t="s">
        <v>199</v>
      </c>
      <c r="B16" s="8" t="s">
        <v>200</v>
      </c>
      <c r="C16" s="8" t="s">
        <v>201</v>
      </c>
    </row>
    <row r="17">
      <c r="A17" s="12" t="s">
        <v>185</v>
      </c>
      <c r="B17" s="13">
        <f t="shared" ref="B17:B20" si="4">SUMIF($B$7:$B$12,A17,$J$7:$J$12)</f>
        <v>6312</v>
      </c>
      <c r="C17" s="23">
        <f t="shared" ref="C17:C20" si="5">IF($B$21&gt;0,B17/$B$21,0)</f>
        <v>0.5103905555</v>
      </c>
    </row>
    <row r="18">
      <c r="A18" s="12" t="s">
        <v>191</v>
      </c>
      <c r="B18" s="13">
        <f t="shared" si="4"/>
        <v>884</v>
      </c>
      <c r="C18" s="23">
        <f t="shared" si="5"/>
        <v>0.07148055308</v>
      </c>
    </row>
    <row r="19">
      <c r="A19" s="12" t="s">
        <v>187</v>
      </c>
      <c r="B19" s="13">
        <f t="shared" si="4"/>
        <v>4705</v>
      </c>
      <c r="C19" s="23">
        <f t="shared" si="5"/>
        <v>0.3804479664</v>
      </c>
    </row>
    <row r="20">
      <c r="A20" s="12" t="s">
        <v>196</v>
      </c>
      <c r="B20" s="13">
        <f t="shared" si="4"/>
        <v>466</v>
      </c>
      <c r="C20" s="23">
        <f t="shared" si="5"/>
        <v>0.03768092504</v>
      </c>
    </row>
    <row r="21" ht="15.75" customHeight="1">
      <c r="A21" s="24" t="s">
        <v>57</v>
      </c>
      <c r="B21" s="25">
        <f t="shared" ref="B21:C21" si="6">SUM(B17:B20)</f>
        <v>12367</v>
      </c>
      <c r="C21" s="26">
        <f t="shared" si="6"/>
        <v>1</v>
      </c>
    </row>
    <row r="22" ht="15.75" customHeight="1"/>
    <row r="23" ht="15.75" customHeight="1"/>
    <row r="24" ht="19.5" customHeight="1">
      <c r="A24" s="7" t="s">
        <v>202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3"/>
    </row>
    <row r="25" ht="24.0" customHeight="1">
      <c r="A25" s="27" t="s">
        <v>203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9"/>
    </row>
    <row r="26" ht="15.75" customHeight="1"/>
    <row r="27" ht="15.75" customHeight="1">
      <c r="A27" s="20" t="s">
        <v>178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L1"/>
    <mergeCell ref="A2:L2"/>
    <mergeCell ref="A5:L5"/>
    <mergeCell ref="A15:G15"/>
    <mergeCell ref="A24:L24"/>
    <mergeCell ref="A25:L25"/>
  </mergeCells>
  <conditionalFormatting sqref="J7:J12">
    <cfRule type="cellIs" dxfId="0" priority="1" operator="lessThan">
      <formula>300</formula>
    </cfRule>
  </conditionalFormatting>
  <conditionalFormatting sqref="D7:D12">
    <cfRule type="expression" dxfId="1" priority="2">
      <formula>D7&lt;=TODAY()+60</formula>
    </cfRule>
  </conditionalFormatting>
  <hyperlinks>
    <hyperlink r:id="rId1" location="INDEX!A1" ref="A27"/>
  </hyperlinks>
  <printOptions/>
  <pageMargins bottom="1.0" footer="0.0" header="0.0" left="0.75" right="0.75" top="1.0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90E2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8.0"/>
    <col customWidth="1" min="2" max="2" width="36.0"/>
    <col customWidth="1" min="3" max="4" width="12.0"/>
    <col customWidth="1" min="5" max="10" width="14.0"/>
    <col customWidth="1" min="11" max="26" width="8.71"/>
  </cols>
  <sheetData>
    <row r="1" ht="30.0" customHeight="1">
      <c r="A1" s="1" t="s">
        <v>204</v>
      </c>
      <c r="B1" s="2"/>
      <c r="C1" s="2"/>
      <c r="D1" s="2"/>
      <c r="E1" s="2"/>
      <c r="F1" s="2"/>
      <c r="G1" s="2"/>
      <c r="H1" s="2"/>
      <c r="I1" s="2"/>
      <c r="J1" s="3"/>
    </row>
    <row r="2" ht="18.0" customHeight="1">
      <c r="A2" s="4" t="s">
        <v>205</v>
      </c>
      <c r="B2" s="2"/>
      <c r="C2" s="2"/>
      <c r="D2" s="2"/>
      <c r="E2" s="2"/>
      <c r="F2" s="2"/>
      <c r="G2" s="2"/>
      <c r="H2" s="2"/>
      <c r="I2" s="2"/>
      <c r="J2" s="3"/>
    </row>
    <row r="4">
      <c r="A4" s="5" t="s">
        <v>206</v>
      </c>
      <c r="B4" s="6" t="s">
        <v>207</v>
      </c>
      <c r="D4" s="5" t="s">
        <v>208</v>
      </c>
      <c r="E4" s="30">
        <v>0.08</v>
      </c>
      <c r="G4" s="5" t="s">
        <v>4</v>
      </c>
      <c r="H4" s="6" t="s">
        <v>5</v>
      </c>
    </row>
    <row r="5">
      <c r="A5" s="31" t="s">
        <v>209</v>
      </c>
      <c r="B5" s="28"/>
      <c r="C5" s="28"/>
      <c r="D5" s="29"/>
      <c r="E5" s="5" t="s">
        <v>210</v>
      </c>
      <c r="F5" s="32">
        <v>0.92</v>
      </c>
      <c r="G5" s="5" t="s">
        <v>211</v>
      </c>
      <c r="H5" s="32">
        <v>10.4</v>
      </c>
      <c r="I5" s="5" t="s">
        <v>212</v>
      </c>
      <c r="J5" s="32">
        <v>0.79</v>
      </c>
    </row>
    <row r="6" ht="19.5" customHeight="1">
      <c r="A6" s="7" t="s">
        <v>213</v>
      </c>
      <c r="B6" s="2"/>
      <c r="C6" s="2"/>
      <c r="D6" s="2"/>
      <c r="E6" s="2"/>
      <c r="F6" s="2"/>
      <c r="G6" s="2"/>
      <c r="H6" s="2"/>
      <c r="I6" s="2"/>
      <c r="J6" s="3"/>
    </row>
    <row r="7" ht="18.0" customHeight="1">
      <c r="A7" s="8"/>
      <c r="B7" s="8"/>
      <c r="C7" s="8"/>
      <c r="D7" s="8"/>
      <c r="E7" s="8"/>
      <c r="F7" s="8"/>
      <c r="G7" s="8"/>
      <c r="H7" s="8"/>
      <c r="I7" s="8"/>
      <c r="J7" s="8"/>
    </row>
    <row r="8" ht="27.75" customHeight="1">
      <c r="A8" s="12" t="s">
        <v>214</v>
      </c>
      <c r="B8" s="12" t="s">
        <v>215</v>
      </c>
      <c r="C8" s="12" t="s">
        <v>216</v>
      </c>
      <c r="D8" s="13">
        <v>1500.0</v>
      </c>
      <c r="E8" s="33">
        <v>22.5</v>
      </c>
      <c r="F8" s="33">
        <f t="shared" ref="F8:F15" si="1">D8*E8</f>
        <v>33750</v>
      </c>
      <c r="G8" s="33">
        <f t="shared" ref="G8:G15" si="2">F8*$E$4</f>
        <v>2700</v>
      </c>
      <c r="H8" s="33">
        <f t="shared" ref="H8:H15" si="3">F8+G8</f>
        <v>36450</v>
      </c>
      <c r="I8" s="33">
        <f t="shared" ref="I8:I15" si="4">H8*$F$5</f>
        <v>33534</v>
      </c>
      <c r="J8" s="33">
        <f t="shared" ref="J8:J15" si="5">H8*$H$5</f>
        <v>379080</v>
      </c>
    </row>
    <row r="9" ht="27.75" customHeight="1">
      <c r="A9" s="12" t="s">
        <v>217</v>
      </c>
      <c r="B9" s="12" t="s">
        <v>218</v>
      </c>
      <c r="C9" s="12" t="s">
        <v>219</v>
      </c>
      <c r="D9" s="13">
        <v>220.0</v>
      </c>
      <c r="E9" s="33">
        <v>18.0</v>
      </c>
      <c r="F9" s="33">
        <f t="shared" si="1"/>
        <v>3960</v>
      </c>
      <c r="G9" s="33">
        <f t="shared" si="2"/>
        <v>316.8</v>
      </c>
      <c r="H9" s="33">
        <f t="shared" si="3"/>
        <v>4276.8</v>
      </c>
      <c r="I9" s="33">
        <f t="shared" si="4"/>
        <v>3934.656</v>
      </c>
      <c r="J9" s="33">
        <f t="shared" si="5"/>
        <v>44478.72</v>
      </c>
    </row>
    <row r="10" ht="27.75" customHeight="1">
      <c r="A10" s="12" t="s">
        <v>217</v>
      </c>
      <c r="B10" s="12" t="s">
        <v>220</v>
      </c>
      <c r="C10" s="12" t="s">
        <v>221</v>
      </c>
      <c r="D10" s="13">
        <v>3000.0</v>
      </c>
      <c r="E10" s="33">
        <v>6.4</v>
      </c>
      <c r="F10" s="33">
        <f t="shared" si="1"/>
        <v>19200</v>
      </c>
      <c r="G10" s="33">
        <f t="shared" si="2"/>
        <v>1536</v>
      </c>
      <c r="H10" s="33">
        <f t="shared" si="3"/>
        <v>20736</v>
      </c>
      <c r="I10" s="33">
        <f t="shared" si="4"/>
        <v>19077.12</v>
      </c>
      <c r="J10" s="33">
        <f t="shared" si="5"/>
        <v>215654.4</v>
      </c>
    </row>
    <row r="11" ht="27.75" customHeight="1">
      <c r="A11" s="12" t="s">
        <v>222</v>
      </c>
      <c r="B11" s="12" t="s">
        <v>223</v>
      </c>
      <c r="C11" s="12" t="s">
        <v>216</v>
      </c>
      <c r="D11" s="13">
        <v>450.0</v>
      </c>
      <c r="E11" s="33">
        <v>28.0</v>
      </c>
      <c r="F11" s="33">
        <f t="shared" si="1"/>
        <v>12600</v>
      </c>
      <c r="G11" s="33">
        <f t="shared" si="2"/>
        <v>1008</v>
      </c>
      <c r="H11" s="33">
        <f t="shared" si="3"/>
        <v>13608</v>
      </c>
      <c r="I11" s="33">
        <f t="shared" si="4"/>
        <v>12519.36</v>
      </c>
      <c r="J11" s="33">
        <f t="shared" si="5"/>
        <v>141523.2</v>
      </c>
    </row>
    <row r="12" ht="27.75" customHeight="1">
      <c r="A12" s="12" t="s">
        <v>111</v>
      </c>
      <c r="B12" s="12" t="s">
        <v>224</v>
      </c>
      <c r="C12" s="12" t="s">
        <v>225</v>
      </c>
      <c r="D12" s="13">
        <v>8.0</v>
      </c>
      <c r="E12" s="33">
        <v>780.0</v>
      </c>
      <c r="F12" s="33">
        <f t="shared" si="1"/>
        <v>6240</v>
      </c>
      <c r="G12" s="33">
        <f t="shared" si="2"/>
        <v>499.2</v>
      </c>
      <c r="H12" s="33">
        <f t="shared" si="3"/>
        <v>6739.2</v>
      </c>
      <c r="I12" s="33">
        <f t="shared" si="4"/>
        <v>6200.064</v>
      </c>
      <c r="J12" s="33">
        <f t="shared" si="5"/>
        <v>70087.68</v>
      </c>
    </row>
    <row r="13" ht="27.75" customHeight="1">
      <c r="A13" s="12" t="s">
        <v>111</v>
      </c>
      <c r="B13" s="12" t="s">
        <v>226</v>
      </c>
      <c r="C13" s="12" t="s">
        <v>227</v>
      </c>
      <c r="D13" s="13">
        <v>1.0</v>
      </c>
      <c r="E13" s="33">
        <v>5200.0</v>
      </c>
      <c r="F13" s="33">
        <f t="shared" si="1"/>
        <v>5200</v>
      </c>
      <c r="G13" s="33">
        <f t="shared" si="2"/>
        <v>416</v>
      </c>
      <c r="H13" s="33">
        <f t="shared" si="3"/>
        <v>5616</v>
      </c>
      <c r="I13" s="33">
        <f t="shared" si="4"/>
        <v>5166.72</v>
      </c>
      <c r="J13" s="33">
        <f t="shared" si="5"/>
        <v>58406.4</v>
      </c>
    </row>
    <row r="14" ht="27.75" customHeight="1">
      <c r="A14" s="12" t="s">
        <v>228</v>
      </c>
      <c r="B14" s="12" t="s">
        <v>229</v>
      </c>
      <c r="C14" s="12" t="s">
        <v>230</v>
      </c>
      <c r="D14" s="13">
        <v>168.0</v>
      </c>
      <c r="E14" s="33">
        <v>35.0</v>
      </c>
      <c r="F14" s="33">
        <f t="shared" si="1"/>
        <v>5880</v>
      </c>
      <c r="G14" s="33">
        <f t="shared" si="2"/>
        <v>470.4</v>
      </c>
      <c r="H14" s="33">
        <f t="shared" si="3"/>
        <v>6350.4</v>
      </c>
      <c r="I14" s="33">
        <f t="shared" si="4"/>
        <v>5842.368</v>
      </c>
      <c r="J14" s="33">
        <f t="shared" si="5"/>
        <v>66044.16</v>
      </c>
    </row>
    <row r="15" ht="27.75" customHeight="1">
      <c r="A15" s="12" t="s">
        <v>175</v>
      </c>
      <c r="B15" s="12" t="s">
        <v>231</v>
      </c>
      <c r="C15" s="12" t="s">
        <v>232</v>
      </c>
      <c r="D15" s="13">
        <v>80.0</v>
      </c>
      <c r="E15" s="33">
        <v>12.0</v>
      </c>
      <c r="F15" s="33">
        <f t="shared" si="1"/>
        <v>960</v>
      </c>
      <c r="G15" s="33">
        <f t="shared" si="2"/>
        <v>76.8</v>
      </c>
      <c r="H15" s="33">
        <f t="shared" si="3"/>
        <v>1036.8</v>
      </c>
      <c r="I15" s="33">
        <f t="shared" si="4"/>
        <v>953.856</v>
      </c>
      <c r="J15" s="33">
        <f t="shared" si="5"/>
        <v>10782.72</v>
      </c>
    </row>
    <row r="16" ht="21.75" customHeight="1">
      <c r="A16" s="24" t="s">
        <v>57</v>
      </c>
      <c r="B16" s="34"/>
      <c r="C16" s="34"/>
      <c r="D16" s="34"/>
      <c r="E16" s="34"/>
      <c r="F16" s="35">
        <f t="shared" ref="F16:J16" si="6">SUM(F8:F15)</f>
        <v>87790</v>
      </c>
      <c r="G16" s="35">
        <f t="shared" si="6"/>
        <v>7023.2</v>
      </c>
      <c r="H16" s="35">
        <f t="shared" si="6"/>
        <v>94813.2</v>
      </c>
      <c r="I16" s="35">
        <f t="shared" si="6"/>
        <v>87228.144</v>
      </c>
      <c r="J16" s="35">
        <f t="shared" si="6"/>
        <v>986057.28</v>
      </c>
    </row>
    <row r="19" ht="19.5" customHeight="1">
      <c r="A19" s="7" t="s">
        <v>233</v>
      </c>
      <c r="B19" s="2"/>
      <c r="C19" s="2"/>
      <c r="D19" s="2"/>
      <c r="E19" s="2"/>
      <c r="F19" s="3"/>
    </row>
    <row r="20" ht="18.0" customHeight="1">
      <c r="A20" s="8"/>
      <c r="B20" s="8"/>
      <c r="C20" s="8"/>
    </row>
    <row r="21" ht="15.75" customHeight="1">
      <c r="A21" s="12" t="s">
        <v>175</v>
      </c>
      <c r="B21" s="33">
        <f t="shared" ref="B21:B26" si="7">SUMIF($A$8:$A$15,A21,$H$8:$H$15)</f>
        <v>1036.8</v>
      </c>
      <c r="C21" s="23">
        <f t="shared" ref="C21:C26" si="8">IF($H$16&gt;0,B21/$H$16,0)</f>
        <v>0.01093518624</v>
      </c>
    </row>
    <row r="22" ht="15.75" customHeight="1">
      <c r="A22" s="12" t="s">
        <v>222</v>
      </c>
      <c r="B22" s="33">
        <f t="shared" si="7"/>
        <v>13608</v>
      </c>
      <c r="C22" s="23">
        <f t="shared" si="8"/>
        <v>0.1435243194</v>
      </c>
    </row>
    <row r="23" ht="15.75" customHeight="1">
      <c r="A23" s="12" t="s">
        <v>111</v>
      </c>
      <c r="B23" s="33">
        <f t="shared" si="7"/>
        <v>12355.2</v>
      </c>
      <c r="C23" s="23">
        <f t="shared" si="8"/>
        <v>0.1303109694</v>
      </c>
    </row>
    <row r="24" ht="15.75" customHeight="1">
      <c r="A24" s="12" t="s">
        <v>214</v>
      </c>
      <c r="B24" s="33">
        <f t="shared" si="7"/>
        <v>36450</v>
      </c>
      <c r="C24" s="23">
        <f t="shared" si="8"/>
        <v>0.3844401412</v>
      </c>
    </row>
    <row r="25" ht="15.75" customHeight="1">
      <c r="A25" s="12" t="s">
        <v>228</v>
      </c>
      <c r="B25" s="33">
        <f t="shared" si="7"/>
        <v>6350.4</v>
      </c>
      <c r="C25" s="23">
        <f t="shared" si="8"/>
        <v>0.06697801572</v>
      </c>
    </row>
    <row r="26" ht="15.75" customHeight="1">
      <c r="A26" s="12" t="s">
        <v>217</v>
      </c>
      <c r="B26" s="33">
        <f t="shared" si="7"/>
        <v>25012.8</v>
      </c>
      <c r="C26" s="23">
        <f t="shared" si="8"/>
        <v>0.263811368</v>
      </c>
    </row>
    <row r="27" ht="15.75" customHeight="1"/>
    <row r="28" ht="15.75" customHeight="1"/>
    <row r="29" ht="15.75" customHeight="1">
      <c r="A29" s="36" t="s">
        <v>178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J1"/>
    <mergeCell ref="A2:J2"/>
    <mergeCell ref="A5:D5"/>
    <mergeCell ref="A6:J6"/>
    <mergeCell ref="A19:F19"/>
  </mergeCells>
  <hyperlinks>
    <hyperlink r:id="rId1" location="INDEX!A1" ref="A29"/>
  </hyperlinks>
  <printOptions/>
  <pageMargins bottom="1.0" footer="0.0" header="0.0" left="0.75" right="0.75" top="1.0"/>
  <pageSetup orientation="landscape"/>
  <drawing r:id="rId2"/>
</worksheet>
</file>
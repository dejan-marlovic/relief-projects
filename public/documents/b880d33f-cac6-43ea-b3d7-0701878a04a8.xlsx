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6cc5b44ec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3138fb1ca0e4508"/>
    <x:sheet xmlns:r="http://schemas.openxmlformats.org/officeDocument/2006/relationships" name="Staffing" sheetId="2" r:id="R71aa4a4b37cd4870"/>
    <x:sheet xmlns:r="http://schemas.openxmlformats.org/officeDocument/2006/relationships" name="Budget" sheetId="3" r:id="R782916ad250b48c0"/>
    <x:sheet xmlns:r="http://schemas.openxmlformats.org/officeDocument/2006/relationships" name="Monthly Plan" sheetId="4" r:id="R2cc8c6ecc1f0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€#,##0"/>
    <x:numFmt numFmtId="165" formatCode="0.0"/>
    <x:numFmt numFmtId="166" formatCode="0.0%"/>
    <x:numFmt numFmtId="167" formatCode="dd mmm yyyy"/>
  </x:numFmts>
  <x:fonts count="8">
    <x:font>
      <x:sz val="11"/>
      <x:color theme="1"/>
      <x:name val="Calibri"/>
      <x:family val="2"/>
      <x:scheme val="minor"/>
    </x:font>
    <x:font>
      <x:b/>
      <x:sz val="18"/>
      <x:color rgb="00FFFFFF"/>
    </x:font>
    <x:font>
      <x:b/>
      <x:color rgb="001F2937"/>
    </x:font>
    <x:font>
      <x:b/>
      <x:sz val="12"/>
      <x:color rgb="00FFFFFF"/>
    </x:font>
    <x:font>
      <x:b/>
    </x:font>
    <x:font>
      <x:b/>
      <x:color rgb="0014532D"/>
    </x:font>
    <x:font>
      <x:color rgb="0014532D"/>
    </x:font>
    <x:font>
      <x:color rgb="007C2D12"/>
    </x:font>
  </x:fonts>
  <x:fills count="9">
    <x:fill>
      <x:patternFill patternType="none"/>
    </x:fill>
    <x:fill>
      <x:patternFill patternType="gray125"/>
    </x:fill>
    <x:fill>
      <x:patternFill patternType="solid">
        <x:fgColor rgb="00111827"/>
      </x:patternFill>
    </x:fill>
    <x:fill>
      <x:patternFill patternType="solid">
        <x:fgColor rgb="00F3F4F6"/>
      </x:patternFill>
    </x:fill>
    <x:fill>
      <x:patternFill patternType="solid">
        <x:fgColor rgb="001F4E79"/>
      </x:patternFill>
    </x:fill>
    <x:fill>
      <x:patternFill patternType="solid">
        <x:fgColor rgb="00E5E7EB"/>
      </x:patternFill>
    </x:fill>
    <x:fill>
      <x:patternFill patternType="solid">
        <x:fgColor rgb="00DCFCE7"/>
      </x:patternFill>
    </x:fill>
    <x:fill>
      <x:patternFill patternType="solid">
        <x:fgColor rgb="00FFF7ED"/>
      </x:patternFill>
    </x:fill>
    <x:fill>
      <x:patternFill patternType="solid">
        <x:fgColor rgb="00F9FAFB"/>
      </x:patternFill>
    </x:fill>
  </x:fills>
  <x:borders count="2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Alignment="1">
      <x:alignment horizontal="left" vertical="center" wrapText="1"/>
    </x:xf>
    <x:xf numFmtId="0" fontId="2" fillId="3" borderId="0" xfId="0" applyAlignment="1">
      <x:alignment horizontal="left" vertical="center" wrapText="1"/>
    </x:xf>
    <x:xf numFmtId="0" fontId="0" fillId="3" borderId="0" xfId="0" applyAlignment="1">
      <x:alignment horizontal="left" vertical="center" wrapText="1"/>
    </x:xf>
    <x:xf numFmtId="0" fontId="0" fillId="3" borderId="0" xfId="0"/>
    <x:xf numFmtId="0" fontId="3" fillId="4" borderId="0" xfId="0" applyAlignment="1">
      <x:alignment horizontal="left" vertical="center" wrapText="1"/>
    </x:xf>
    <x:xf numFmtId="0" fontId="2" fillId="5" borderId="1" xfId="0" applyAlignment="1">
      <x:alignment horizontal="left" vertical="center" wrapText="1"/>
    </x:xf>
    <x:xf numFmtId="164" fontId="0" fillId="0" borderId="1" xfId="0" applyAlignment="1">
      <x:alignment horizontal="left" vertical="center" wrapText="1"/>
    </x:xf>
    <x:xf numFmtId="165" fontId="0" fillId="0" borderId="1" xfId="0" applyAlignment="1">
      <x:alignment horizontal="left" vertical="center" wrapText="1"/>
    </x:xf>
    <x:xf numFmtId="1" fontId="0" fillId="0" borderId="1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0" fontId="2" fillId="5" borderId="1" xfId="0" applyAlignment="1">
      <x:alignment horizontal="center" vertical="center" wrapText="1"/>
    </x:xf>
    <x:xf numFmtId="165" fontId="0" fillId="0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166" fontId="0" fillId="0" borderId="1" xfId="0" applyAlignment="1">
      <x:alignment horizontal="center" vertical="center" wrapText="1"/>
    </x:xf>
    <x:xf numFmtId="167" fontId="0" fillId="0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0" fontId="6" fillId="6" borderId="1" xfId="0" applyAlignment="1">
      <x:alignment horizontal="center" vertical="center" wrapText="1"/>
    </x:xf>
    <x:xf numFmtId="165" fontId="5" fillId="6" borderId="1" xfId="0" applyAlignment="1">
      <x:alignment horizontal="center" vertical="center" wrapText="1"/>
    </x:xf>
    <x:xf numFmtId="164" fontId="5" fillId="6" borderId="1" xfId="0" applyAlignment="1">
      <x:alignment horizontal="center" vertical="center" wrapText="1"/>
    </x:xf>
    <x:xf numFmtId="166" fontId="5" fillId="6" borderId="1" xfId="0" applyAlignment="1">
      <x:alignment horizontal="center" vertical="center" wrapText="1"/>
    </x:xf>
    <x:xf numFmtId="0" fontId="6" fillId="6" borderId="1" xfId="0" applyAlignment="1">
      <x:alignment horizontal="left" vertical="center" wrapText="1"/>
    </x:xf>
    <x:xf numFmtId="0" fontId="7" fillId="7" borderId="0" xfId="0" applyAlignment="1">
      <x:alignment horizontal="left" vertical="top" wrapText="1"/>
    </x:xf>
    <x:xf numFmtId="0" fontId="0" fillId="0" borderId="1" xfId="0" applyAlignment="1">
      <x:alignment horizontal="center" vertical="center" wrapText="1"/>
    </x:xf>
    <x:xf numFmtId="2" fontId="0" fillId="0" borderId="1" xfId="0" applyAlignment="1">
      <x:alignment horizontal="center" vertical="center" wrapText="1"/>
    </x:xf>
    <x:xf numFmtId="0" fontId="5" fillId="6" borderId="1" xfId="0" applyAlignment="1">
      <x:alignment horizontal="left" vertical="center" wrapText="1"/>
    </x:xf>
    <x:xf numFmtId="0" fontId="0" fillId="8" borderId="1" xfId="0" applyAlignment="1">
      <x:alignment horizontal="left" vertical="center" wrapText="1"/>
    </x:xf>
    <x:xf numFmtId="0" fontId="0" fillId="8" borderId="1" xfId="0" applyAlignment="1">
      <x:alignment horizontal="center" vertical="center" wrapText="1"/>
    </x:xf>
    <x:xf numFmtId="0" fontId="7" fillId="7" borderId="0" xfId="0" applyAlignment="1">
      <x:alignment horizontal="left" vertical="center" wrapText="1"/>
    </x:xf>
    <x:xf numFmtId="166" fontId="0" fillId="0" borderId="1" xfId="0" applyAlignment="1">
      <x:alignment horizontal="center" vertical="center" wrapText="1"/>
    </x:xf>
    <x:xf numFmtId="166" fontId="5" fillId="6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066fe8dc74efe" /><Relationship Type="http://schemas.openxmlformats.org/officeDocument/2006/relationships/theme" Target="/xl/theme/theme1.xml" Id="R47a1551d65da4771" /><Relationship Type="http://schemas.openxmlformats.org/officeDocument/2006/relationships/sharedStrings" Target="/xl/sharedStrings.xml" Id="R1f848761f9414ac6" /><Relationship Type="http://schemas.openxmlformats.org/officeDocument/2006/relationships/worksheet" Target="/xl/worksheets/sheet1.xml" Id="Rc3138fb1ca0e4508" /><Relationship Type="http://schemas.openxmlformats.org/officeDocument/2006/relationships/worksheet" Target="/xl/worksheets/sheet2.xml" Id="R71aa4a4b37cd4870" /><Relationship Type="http://schemas.openxmlformats.org/officeDocument/2006/relationships/worksheet" Target="/xl/worksheets/sheet3.xml" Id="R782916ad250b48c0" /><Relationship Type="http://schemas.openxmlformats.org/officeDocument/2006/relationships/worksheet" Target="/xl/worksheets/sheet4.xml" Id="R2cc8c6ecc1f0443e" /></Relationships>
</file>

<file path=xl/tables/table1.xml><?xml version="1.0" encoding="utf-8"?>
<x:table xmlns:x="http://schemas.openxmlformats.org/spreadsheetml/2006/main" id="1" name="WorkstreamAllocation" displayName="WorkstreamAllocation" ref="A11:H19" headerRowCount="1">
  <x:autoFilter ref="A11:H19"/>
  <x:tableColumns count="8">
    <x:tableColumn id="1" name="Workstream"/>
    <x:tableColumn id="2" name="Lead Role"/>
    <x:tableColumn id="3" name="Planned FTE"/>
    <x:tableColumn id="4" name="Budget (EUR)"/>
    <x:tableColumn id="5" name="% of Total"/>
    <x:tableColumn id="6" name="Key Outputs (high-level)"/>
    <x:tableColumn id="7" name="Start"/>
    <x:tableColumn id="8" name="End"/>
  </x:tableColumns>
  <x:tableStyleInfo name="TableStyleMedium9" showRowStripes="1"/>
</x:table>
</file>

<file path=xl/tables/table2.xml><?xml version="1.0" encoding="utf-8"?>
<x:table xmlns:x="http://schemas.openxmlformats.org/spreadsheetml/2006/main" id="2" name="StaffingPlan" displayName="StaffingPlan" ref="A4:I14" headerRowCount="1">
  <x:autoFilter ref="A4:I14"/>
  <x:tableColumns count="9">
    <x:tableColumn id="1" name="Role"/>
    <x:tableColumn id="2" name="Headcount"/>
    <x:tableColumn id="3" name="FTE/Person"/>
    <x:tableColumn id="4" name="Total FTE"/>
    <x:tableColumn id="5" name="Start"/>
    <x:tableColumn id="6" name="End"/>
    <x:tableColumn id="7" name="Primary Location"/>
    <x:tableColumn id="8" name="Contract Type"/>
    <x:tableColumn id="9" name="Key Responsibilities"/>
  </x:tableColumns>
  <x:tableStyleInfo name="TableStyleMedium9" showRowStripes="1"/>
</x:table>
</file>

<file path=xl/tables/table3.xml><?xml version="1.0" encoding="utf-8"?>
<x:table xmlns:x="http://schemas.openxmlformats.org/spreadsheetml/2006/main" id="3" name="BudgetSummary" displayName="BudgetSummary" ref="A4:H14" headerRowCount="1">
  <x:autoFilter ref="A4:H14"/>
  <x:tableColumns count="8">
    <x:tableColumn id="1" name="Category"/>
    <x:tableColumn id="2" name="Description"/>
    <x:tableColumn id="3" name="Amount (EUR)"/>
    <x:tableColumn id="4" name="% of Total"/>
    <x:tableColumn id="5" name="Owner"/>
    <x:tableColumn id="6" name="Procurement Method"/>
    <x:tableColumn id="7" name="Timing"/>
    <x:tableColumn id="8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5bab0f81ef42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84bb5180d24f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5f9f09fefb48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18" customWidth="1"/>
    <x:col min="3" max="3" width="12" customWidth="1"/>
    <x:col min="4" max="4" width="14" customWidth="1"/>
    <x:col min="5" max="5" width="10" customWidth="1"/>
    <x:col min="6" max="6" width="36" customWidth="1"/>
    <x:col min="7" max="7" width="12" customWidth="1"/>
    <x:col min="8" max="8" width="12" customWidth="1"/>
  </x:cols>
  <x:sheetData>
    <x:row r="1" ht="32" customHeight="1">
      <x:c r="A1" s="1" t="inlineStr">
        <x:is>
          <x:t xml:space="preserve">Resource Allocation Overview — Education for Displaced Children (EDC)</x:t>
        </x:is>
      </x:c>
    </x:row>
    <x:row r="2" ht="20" customHeight="1">
      <x:c r="A2" s="2" t="inlineStr">
        <x:is>
          <x:t xml:space="preserve">Project Code</x:t>
        </x:is>
      </x:c>
      <x:c r="B2" s="3" t="inlineStr">
        <x:is>
          <x:t xml:space="preserve">EDC-2026-01</x:t>
        </x:is>
      </x:c>
      <x:c r="C2" s="4" t="n"/>
      <x:c r="D2" s="4" t="n"/>
      <x:c r="E2" s="2" t="inlineStr">
        <x:is>
          <x:t xml:space="preserve">Planning Period</x:t>
        </x:is>
      </x:c>
      <x:c r="F2" s="3" t="inlineStr">
        <x:is>
          <x:t xml:space="preserve">01 Feb 2026 – 31 Jul 2026</x:t>
        </x:is>
      </x:c>
      <x:c r="G2" s="4" t="n"/>
      <x:c r="H2" s="4" t="n"/>
    </x:row>
    <x:row r="3" ht="20" customHeight="1">
      <x:c r="A3" s="2" t="inlineStr">
        <x:is>
          <x:t xml:space="preserve">Geographic Focus</x:t>
        </x:is>
      </x:c>
      <x:c r="B3" s="3" t="inlineStr">
        <x:is>
          <x:t xml:space="preserve">Sundby Reception Corridor (Demo)</x:t>
        </x:is>
      </x:c>
      <x:c r="C3" s="4" t="n"/>
      <x:c r="D3" s="4" t="n"/>
      <x:c r="E3" s="2" t="inlineStr">
        <x:is>
          <x:t xml:space="preserve">Target Group</x:t>
        </x:is>
      </x:c>
      <x:c r="F3" s="3" t="inlineStr">
        <x:is>
          <x:t xml:space="preserve">Displaced children aged 6–14</x:t>
        </x:is>
      </x:c>
      <x:c r="G3" s="4" t="n"/>
      <x:c r="H3" s="4" t="n"/>
    </x:row>
    <x:row r="4" ht="20" customHeight="1">
      <x:c r="A4" s="2" t="inlineStr">
        <x:is>
          <x:t xml:space="preserve">Implementation Sites</x:t>
        </x:is>
      </x:c>
      <x:c r="B4" s="3" t="inlineStr">
        <x:is>
          <x:t xml:space="preserve">3 learning hubs (Sundby Hub, Larkfield Transit, Meadowgate)</x:t>
        </x:is>
      </x:c>
      <x:c r="C4" s="4" t="n"/>
      <x:c r="D4" s="4" t="n"/>
      <x:c r="E4" s="2" t="inlineStr">
        <x:is>
          <x:t xml:space="preserve">Document ID</x:t>
        </x:is>
      </x:c>
      <x:c r="F4" s="3" t="inlineStr">
        <x:is>
          <x:t xml:space="preserve">EDC-RAO-2026-01-001 (Demo)</x:t>
        </x:is>
      </x:c>
      <x:c r="G4" s="4" t="n"/>
      <x:c r="H4" s="4" t="n"/>
    </x:row>
    <x:row r="5" ht="20" customHeight="1">
      <x:c r="A5" s="2" t="inlineStr">
        <x:is>
          <x:t xml:space="preserve">Prepared By</x:t>
        </x:is>
      </x:c>
      <x:c r="B5" s="3" t="inlineStr">
        <x:is>
          <x:t xml:space="preserve">Education Technical Unit (Demo)</x:t>
        </x:is>
      </x:c>
      <x:c r="C5" s="4" t="n"/>
      <x:c r="D5" s="4" t="n"/>
      <x:c r="E5" s="2" t="inlineStr">
        <x:is>
          <x:t xml:space="preserve">Version</x:t>
        </x:is>
      </x:c>
      <x:c r="F5" s="3" t="inlineStr">
        <x:is>
          <x:t xml:space="preserve">v1.0</x:t>
        </x:is>
      </x:c>
      <x:c r="G5" s="4" t="n"/>
      <x:c r="H5" s="4" t="n"/>
    </x:row>
    <x:row r="6" ht="22" customHeight="1">
      <x:c r="A6" s="5" t="inlineStr">
        <x:is>
          <x:t xml:space="preserve">Resource Snapshot</x:t>
        </x:is>
      </x:c>
    </x:row>
    <x:row r="7" ht="18" customHeight="1">
      <x:c r="A7" s="6" t="inlineStr">
        <x:is>
          <x:t xml:space="preserve">Total Planned Budget (EUR)</x:t>
        </x:is>
      </x:c>
      <x:c r="B7" s="7" t="n">
        <x:v>628800</x:v>
      </x:c>
      <x:c r="C7" s="6" t="inlineStr">
        <x:is>
          <x:t xml:space="preserve">Total Human Resources (FTE)</x:t>
        </x:is>
      </x:c>
      <x:c r="D7" s="8">
        <x:f>Staffing!D14</x:f>
        <x:v>17.700000000000003</x:v>
      </x:c>
      <x:c r="E7" s="6" t="inlineStr">
        <x:is>
          <x:t xml:space="preserve"># Teachers (roster)</x:t>
        </x:is>
      </x:c>
      <x:c r="F7" s="9">
        <x:f>Staffing!B12</x:f>
        <x:v>12</x:v>
      </x:c>
      <x:c r="G7" s="6" t="inlineStr">
        <x:is>
          <x:t xml:space="preserve"># Learning Hubs</x:t>
        </x:is>
      </x:c>
      <x:c r="H7" s="9" t="n">
        <x:v>3</x:v>
      </x:c>
    </x:row>
    <x:row r="8" ht="18" customHeight="1">
      <x:c r="A8" s="6" t="inlineStr">
        <x:is>
          <x:t xml:space="preserve">Planned Learner Capacity / month</x:t>
        </x:is>
      </x:c>
      <x:c r="B8" s="10" t="n">
        <x:v>750</x:v>
      </x:c>
      <x:c r="C8" s="6" t="inlineStr">
        <x:is>
          <x:t xml:space="preserve">Assessment Frequency</x:t>
        </x:is>
      </x:c>
      <x:c r="D8" s="10" t="inlineStr">
        <x:is>
          <x:t xml:space="preserve">Monthly progress check</x:t>
        </x:is>
      </x:c>
      <x:c r="E8" s="6" t="inlineStr">
        <x:is>
          <x:t xml:space="preserve">Materials Print Runs</x:t>
        </x:is>
      </x:c>
      <x:c r="F8" s="10" t="inlineStr">
        <x:is>
          <x:t xml:space="preserve">2 (pilot + scale)</x:t>
        </x:is>
      </x:c>
      <x:c r="G8" s="6" t="inlineStr">
        <x:is>
          <x:t xml:space="preserve">Complaint Channels</x:t>
        </x:is>
      </x:c>
      <x:c r="H8" s="10" t="inlineStr">
        <x:is>
          <x:t xml:space="preserve">Helpdesk + hotline</x:t>
        </x:is>
      </x:c>
    </x:row>
    <x:row r="10" ht="22" customHeight="1">
      <x:c r="A10" s="5" t="inlineStr">
        <x:is>
          <x:t xml:space="preserve">Allocation by Workstream (6-month plan)</x:t>
        </x:is>
      </x:c>
    </x:row>
    <x:row r="11">
      <x:c r="A11" s="11" t="inlineStr">
        <x:is>
          <x:t xml:space="preserve">Workstream</x:t>
        </x:is>
      </x:c>
      <x:c r="B11" s="11" t="inlineStr">
        <x:is>
          <x:t xml:space="preserve">Lead Role</x:t>
        </x:is>
      </x:c>
      <x:c r="C11" s="11" t="inlineStr">
        <x:is>
          <x:t xml:space="preserve">Planned FTE</x:t>
        </x:is>
      </x:c>
      <x:c r="D11" s="11" t="inlineStr">
        <x:is>
          <x:t xml:space="preserve">Budget (EUR)</x:t>
        </x:is>
      </x:c>
      <x:c r="E11" s="11" t="inlineStr">
        <x:is>
          <x:t xml:space="preserve">% of Total</x:t>
        </x:is>
      </x:c>
      <x:c r="F11" s="11" t="inlineStr">
        <x:is>
          <x:t xml:space="preserve">Key Outputs (high-level)</x:t>
        </x:is>
      </x:c>
      <x:c r="G11" s="11" t="inlineStr">
        <x:is>
          <x:t xml:space="preserve">Start</x:t>
        </x:is>
      </x:c>
      <x:c r="H11" s="11" t="inlineStr">
        <x:is>
          <x:t xml:space="preserve">End</x:t>
        </x:is>
      </x:c>
    </x:row>
    <x:row r="12">
      <x:c r="A12" s="10" t="inlineStr">
        <x:is>
          <x:t xml:space="preserve">Curriculum framework &amp; localization</x:t>
        </x:is>
      </x:c>
      <x:c r="B12" s="10" t="inlineStr">
        <x:is>
          <x:t xml:space="preserve">Education Coordinator</x:t>
        </x:is>
      </x:c>
      <x:c r="C12" s="12" t="n">
        <x:v>1.8</x:v>
      </x:c>
      <x:c r="D12" s="13" t="n">
        <x:v>112000</x:v>
      </x:c>
      <x:c r="E12" s="29">
        <x:f>D12/$B$7</x:f>
        <x:v>0.178117048346056</x:v>
      </x:c>
      <x:c r="F12" s="10" t="inlineStr">
        <x:is>
          <x:t xml:space="preserve">Scope/sequence; lesson prototypes; assessment tools</x:t>
        </x:is>
      </x:c>
      <x:c r="G12" s="15" t="n">
        <x:v>46054</x:v>
      </x:c>
      <x:c r="H12" s="15" t="n">
        <x:v>46142</x:v>
      </x:c>
    </x:row>
    <x:row r="13">
      <x:c r="A13" s="10" t="inlineStr">
        <x:is>
          <x:t xml:space="preserve">Teacher training &amp; coaching</x:t>
        </x:is>
      </x:c>
      <x:c r="B13" s="10" t="inlineStr">
        <x:is>
          <x:t xml:space="preserve">Site Leads</x:t>
        </x:is>
      </x:c>
      <x:c r="C13" s="12" t="n">
        <x:v>2.2</x:v>
      </x:c>
      <x:c r="D13" s="13" t="n">
        <x:v>96000</x:v>
      </x:c>
      <x:c r="E13" s="29">
        <x:f>D13/$B$7</x:f>
        <x:v>0.15267175572519084</x:v>
      </x:c>
      <x:c r="F13" s="10" t="inlineStr">
        <x:is>
          <x:t xml:space="preserve">3-day initial training; weekly coaching cycles; CoP sessions</x:t>
        </x:is>
      </x:c>
      <x:c r="G13" s="15" t="n">
        <x:v>46082</x:v>
      </x:c>
      <x:c r="H13" s="15" t="n">
        <x:v>46234</x:v>
      </x:c>
    </x:row>
    <x:row r="14">
      <x:c r="A14" s="10" t="inlineStr">
        <x:is>
          <x:t xml:space="preserve">Learning materials production &amp; replenishment</x:t>
        </x:is>
      </x:c>
      <x:c r="B14" s="10" t="inlineStr">
        <x:is>
          <x:t xml:space="preserve">Logistics Officer</x:t>
        </x:is>
      </x:c>
      <x:c r="C14" s="12" t="n">
        <x:v>1</x:v>
      </x:c>
      <x:c r="D14" s="13" t="n">
        <x:v>145500</x:v>
      </x:c>
      <x:c r="E14" s="29">
        <x:f>D14/$B$7</x:f>
        <x:v>0.23139312977099236</x:v>
      </x:c>
      <x:c r="F14" s="10" t="inlineStr">
        <x:is>
          <x:t xml:space="preserve">Workbooks; flashcards; posters; classroom kits; reprints</x:t>
        </x:is>
      </x:c>
      <x:c r="G14" s="15" t="n">
        <x:v>46068</x:v>
      </x:c>
      <x:c r="H14" s="15" t="n">
        <x:v>46203</x:v>
      </x:c>
    </x:row>
    <x:row r="15">
      <x:c r="A15" s="10" t="inlineStr">
        <x:is>
          <x:t xml:space="preserve">Learning hub delivery (site ops)</x:t>
        </x:is>
      </x:c>
      <x:c r="B15" s="10" t="inlineStr">
        <x:is>
          <x:t xml:space="preserve">Site Leads</x:t>
        </x:is>
      </x:c>
      <x:c r="C15" s="12" t="n">
        <x:v>10.3</x:v>
      </x:c>
      <x:c r="D15" s="13" t="n">
        <x:v>162500</x:v>
      </x:c>
      <x:c r="E15" s="29">
        <x:f>D15/$B$7</x:f>
        <x:v>0.25842875318066155</x:v>
      </x:c>
      <x:c r="F15" s="10" t="inlineStr">
        <x:is>
          <x:t xml:space="preserve">Class delivery across 3 hubs; attendance &amp; learner records</x:t>
        </x:is>
      </x:c>
      <x:c r="G15" s="15" t="n">
        <x:v>46068</x:v>
      </x:c>
      <x:c r="H15" s="15" t="n">
        <x:v>46234</x:v>
      </x:c>
    </x:row>
    <x:row r="16">
      <x:c r="A16" s="10" t="inlineStr">
        <x:is>
          <x:t xml:space="preserve">Monitoring, evaluation &amp; assessments</x:t>
        </x:is>
      </x:c>
      <x:c r="B16" s="10" t="inlineStr">
        <x:is>
          <x:t xml:space="preserve">M&amp;E Officer</x:t>
        </x:is>
      </x:c>
      <x:c r="C16" s="12" t="n">
        <x:v>0.7</x:v>
      </x:c>
      <x:c r="D16" s="13" t="n">
        <x:v>24000</x:v>
      </x:c>
      <x:c r="E16" s="29">
        <x:f>D16/$B$7</x:f>
        <x:v>0.03816793893129771</x:v>
      </x:c>
      <x:c r="F16" s="10" t="inlineStr">
        <x:is>
          <x:t xml:space="preserve">Placement checks; monthly progress benchmarks; learning snapshot</x:t>
        </x:is>
      </x:c>
      <x:c r="G16" s="15" t="n">
        <x:v>46068</x:v>
      </x:c>
      <x:c r="H16" s="15" t="n">
        <x:v>46234</x:v>
      </x:c>
    </x:row>
    <x:row r="17">
      <x:c r="A17" s="10" t="inlineStr">
        <x:is>
          <x:t xml:space="preserve">Safeguarding, inclusion &amp; AAP</x:t>
        </x:is>
      </x:c>
      <x:c r="B17" s="10" t="inlineStr">
        <x:is>
          <x:t xml:space="preserve">Safeguarding Focal Point</x:t>
        </x:is>
      </x:c>
      <x:c r="C17" s="12" t="n">
        <x:v>0.8</x:v>
      </x:c>
      <x:c r="D17" s="13" t="n">
        <x:v>18000</x:v>
      </x:c>
      <x:c r="E17" s="29">
        <x:f>D17/$B$7</x:f>
        <x:v>0.02862595419847328</x:v>
      </x:c>
      <x:c r="F17" s="10" t="inlineStr">
        <x:is>
          <x:t xml:space="preserve">PSEA briefings; referral mapping; feedback mechanism &amp; response</x:t>
        </x:is>
      </x:c>
      <x:c r="G17" s="15" t="n">
        <x:v>46054</x:v>
      </x:c>
      <x:c r="H17" s="15" t="n">
        <x:v>46234</x:v>
      </x:c>
    </x:row>
    <x:row r="18">
      <x:c r="A18" s="10" t="inlineStr">
        <x:is>
          <x:t xml:space="preserve">Project management &amp; overhead</x:t>
        </x:is>
      </x:c>
      <x:c r="B18" s="10" t="inlineStr">
        <x:is>
          <x:t xml:space="preserve">Program Manager</x:t>
        </x:is>
      </x:c>
      <x:c r="C18" s="12" t="n">
        <x:v>0.9</x:v>
      </x:c>
      <x:c r="D18" s="13" t="n">
        <x:v>70800</x:v>
      </x:c>
      <x:c r="E18" s="29">
        <x:f>D18/$B$7</x:f>
        <x:v>0.11259541984732824</x:v>
      </x:c>
      <x:c r="F18" s="10" t="inlineStr">
        <x:is>
          <x:t xml:space="preserve">Coordination; finance/admin; reporting; audits; compliance</x:t>
        </x:is>
      </x:c>
      <x:c r="G18" s="15" t="n">
        <x:v>46054</x:v>
      </x:c>
      <x:c r="H18" s="15" t="n">
        <x:v>46234</x:v>
      </x:c>
    </x:row>
    <x:row r="19">
      <x:c r="A19" s="16" t="inlineStr">
        <x:is>
          <x:t xml:space="preserve">TOTAL</x:t>
        </x:is>
      </x:c>
      <x:c r="B19" s="17" t="n"/>
      <x:c r="C19" s="18">
        <x:f>SUM(C12:C18)</x:f>
        <x:v>17.700000000000003</x:v>
      </x:c>
      <x:c r="D19" s="19">
        <x:f>SUM(D12:D18)</x:f>
        <x:v>628800</x:v>
      </x:c>
      <x:c r="E19" s="30">
        <x:f>D19/$B$7</x:f>
        <x:v>1</x:v>
      </x:c>
      <x:c r="F19" s="21" t="n"/>
      <x:c r="G19" s="17" t="n"/>
      <x:c r="H19" s="17" t="n"/>
    </x:row>
    <x:row r="21" ht="46" customHeight="1">
      <x:c r="A21" s="22" t="inlineStr">
        <x:is>
          <x:t xml:space="preserve">Notes (Demo): FTE values represent planned average engagement across the 6‑month period. Budget lines include goods/services and prorated staff costs. Percentages are calculated automatically.</x:t>
        </x:is>
      </x:c>
    </x:row>
    <x:row r="22"/>
    <x:row r="23"/>
  </x:sheetData>
  <x:mergeCells>
    <x:mergeCell ref="A10:H10"/>
    <x:mergeCell ref="A21:H23"/>
    <x:mergeCell ref="A6:H6"/>
    <x:mergeCell ref="A1:H1"/>
  </x:mergeCells>
  <x:pageMargins left="0.7" right="0.7" top="0.75" bottom="0.75" header="0.3" footer="0.3"/>
  <x:tableParts count="1">
    <x:tablePart xmlns:r="http://schemas.openxmlformats.org/officeDocument/2006/relationships" r:id="R405bab0f81ef42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10" customWidth="1"/>
    <x:col min="3" max="3" width="12" customWidth="1"/>
    <x:col min="4" max="4" width="10" customWidth="1"/>
    <x:col min="5" max="5" width="12" customWidth="1"/>
    <x:col min="6" max="6" width="12" customWidth="1"/>
    <x:col min="7" max="7" width="18" customWidth="1"/>
    <x:col min="8" max="8" width="14" customWidth="1"/>
    <x:col min="9" max="9" width="40" customWidth="1"/>
  </x:cols>
  <x:sheetData>
    <x:row r="1" ht="32" customHeight="1">
      <x:c r="A1" s="1" t="inlineStr">
        <x:is>
          <x:t xml:space="preserve">Staffing &amp; Roles Plan — EDC (Demo)</x:t>
        </x:is>
      </x:c>
    </x:row>
    <x:row r="2" ht="18" customHeight="1">
      <x:c r="A2" s="3" t="inlineStr">
        <x:is>
          <x:t xml:space="preserve">Planned staffing for implementation across three learning hubs. Costs are indicative for demo purposes.</x:t>
        </x:is>
      </x:c>
    </x:row>
    <x:row r="4">
      <x:c r="A4" s="11" t="inlineStr">
        <x:is>
          <x:t xml:space="preserve">Role</x:t>
        </x:is>
      </x:c>
      <x:c r="B4" s="11" t="inlineStr">
        <x:is>
          <x:t xml:space="preserve">Headcount</x:t>
        </x:is>
      </x:c>
      <x:c r="C4" s="11" t="inlineStr">
        <x:is>
          <x:t xml:space="preserve">FTE/Person</x:t>
        </x:is>
      </x:c>
      <x:c r="D4" s="11" t="inlineStr">
        <x:is>
          <x:t xml:space="preserve">Total FTE</x:t>
        </x:is>
      </x:c>
      <x:c r="E4" s="11" t="inlineStr">
        <x:is>
          <x:t xml:space="preserve">Start</x:t>
        </x:is>
      </x:c>
      <x:c r="F4" s="11" t="inlineStr">
        <x:is>
          <x:t xml:space="preserve">End</x:t>
        </x:is>
      </x:c>
      <x:c r="G4" s="11" t="inlineStr">
        <x:is>
          <x:t xml:space="preserve">Primary Location</x:t>
        </x:is>
      </x:c>
      <x:c r="H4" s="11" t="inlineStr">
        <x:is>
          <x:t xml:space="preserve">Contract Type</x:t>
        </x:is>
      </x:c>
      <x:c r="I4" s="11" t="inlineStr">
        <x:is>
          <x:t xml:space="preserve">Key Responsibilities</x:t>
        </x:is>
      </x:c>
    </x:row>
    <x:row r="5">
      <x:c r="A5" s="10" t="inlineStr">
        <x:is>
          <x:t xml:space="preserve">Education Coordinator</x:t>
        </x:is>
      </x:c>
      <x:c r="B5" s="23" t="n">
        <x:v>1</x:v>
      </x:c>
      <x:c r="C5" s="24" t="n">
        <x:v>1</x:v>
      </x:c>
      <x:c r="D5" s="12">
        <x:f>B5*C5</x:f>
        <x:v>1</x:v>
      </x:c>
      <x:c r="E5" s="15" t="n">
        <x:v>46054</x:v>
      </x:c>
      <x:c r="F5" s="15" t="n">
        <x:v>46234</x:v>
      </x:c>
      <x:c r="G5" s="10" t="inlineStr">
        <x:is>
          <x:t xml:space="preserve">Corridor-wide</x:t>
        </x:is>
      </x:c>
      <x:c r="H5" s="10" t="inlineStr">
        <x:is>
          <x:t xml:space="preserve">Fixed-term</x:t>
        </x:is>
      </x:c>
      <x:c r="I5" s="10" t="inlineStr">
        <x:is>
          <x:t xml:space="preserve">Technical leadership; curriculum governance; coordination</x:t>
        </x:is>
      </x:c>
    </x:row>
    <x:row r="6">
      <x:c r="A6" s="10" t="inlineStr">
        <x:is>
          <x:t xml:space="preserve">Curriculum Specialist (consultant)</x:t>
        </x:is>
      </x:c>
      <x:c r="B6" s="23" t="n">
        <x:v>1</x:v>
      </x:c>
      <x:c r="C6" s="24" t="n">
        <x:v>0.5</x:v>
      </x:c>
      <x:c r="D6" s="12">
        <x:f>B6*C6</x:f>
        <x:v>0.5</x:v>
      </x:c>
      <x:c r="E6" s="15" t="n">
        <x:v>46054</x:v>
      </x:c>
      <x:c r="F6" s="15" t="n">
        <x:v>46142</x:v>
      </x:c>
      <x:c r="G6" s="10" t="inlineStr">
        <x:is>
          <x:t xml:space="preserve">Remote + field visits</x:t>
        </x:is>
      </x:c>
      <x:c r="H6" s="10" t="inlineStr">
        <x:is>
          <x:t xml:space="preserve">Consultancy</x:t>
        </x:is>
      </x:c>
      <x:c r="I6" s="10" t="inlineStr">
        <x:is>
          <x:t xml:space="preserve">Module drafting; localization; teacher guide development</x:t>
        </x:is>
      </x:c>
    </x:row>
    <x:row r="7">
      <x:c r="A7" s="10" t="inlineStr">
        <x:is>
          <x:t xml:space="preserve">M&amp;E Officer</x:t>
        </x:is>
      </x:c>
      <x:c r="B7" s="23" t="n">
        <x:v>1</x:v>
      </x:c>
      <x:c r="C7" s="24" t="n">
        <x:v>0.5</x:v>
      </x:c>
      <x:c r="D7" s="12">
        <x:f>B7*C7</x:f>
        <x:v>0.5</x:v>
      </x:c>
      <x:c r="E7" s="15" t="n">
        <x:v>46068</x:v>
      </x:c>
      <x:c r="F7" s="15" t="n">
        <x:v>46234</x:v>
      </x:c>
      <x:c r="G7" s="10" t="inlineStr">
        <x:is>
          <x:t xml:space="preserve">Corridor-wide</x:t>
        </x:is>
      </x:c>
      <x:c r="H7" s="10" t="inlineStr">
        <x:is>
          <x:t xml:space="preserve">Fixed-term</x:t>
        </x:is>
      </x:c>
      <x:c r="I7" s="10" t="inlineStr">
        <x:is>
          <x:t xml:space="preserve">Assessments; data QA; monthly learning snapshots</x:t>
        </x:is>
      </x:c>
    </x:row>
    <x:row r="8">
      <x:c r="A8" s="10" t="inlineStr">
        <x:is>
          <x:t xml:space="preserve">Safeguarding Focal Point</x:t>
        </x:is>
      </x:c>
      <x:c r="B8" s="23" t="n">
        <x:v>1</x:v>
      </x:c>
      <x:c r="C8" s="24" t="n">
        <x:v>0.3</x:v>
      </x:c>
      <x:c r="D8" s="12">
        <x:f>B8*C8</x:f>
        <x:v>0.3</x:v>
      </x:c>
      <x:c r="E8" s="15" t="n">
        <x:v>46054</x:v>
      </x:c>
      <x:c r="F8" s="15" t="n">
        <x:v>46234</x:v>
      </x:c>
      <x:c r="G8" s="10" t="inlineStr">
        <x:is>
          <x:t xml:space="preserve">Corridor-wide</x:t>
        </x:is>
      </x:c>
      <x:c r="H8" s="10" t="inlineStr">
        <x:is>
          <x:t xml:space="preserve">Fixed-term</x:t>
        </x:is>
      </x:c>
      <x:c r="I8" s="10" t="inlineStr">
        <x:is>
          <x:t xml:space="preserve">Safeguarding/PSEA; referrals; staff briefings</x:t>
        </x:is>
      </x:c>
    </x:row>
    <x:row r="9">
      <x:c r="A9" s="10" t="inlineStr">
        <x:is>
          <x:t xml:space="preserve">Logistics Officer</x:t>
        </x:is>
      </x:c>
      <x:c r="B9" s="23" t="n">
        <x:v>1</x:v>
      </x:c>
      <x:c r="C9" s="24" t="n">
        <x:v>0.5</x:v>
      </x:c>
      <x:c r="D9" s="12">
        <x:f>B9*C9</x:f>
        <x:v>0.5</x:v>
      </x:c>
      <x:c r="E9" s="15" t="n">
        <x:v>46054</x:v>
      </x:c>
      <x:c r="F9" s="15" t="n">
        <x:v>46234</x:v>
      </x:c>
      <x:c r="G9" s="10" t="inlineStr">
        <x:is>
          <x:t xml:space="preserve">Sundby</x:t>
        </x:is>
      </x:c>
      <x:c r="H9" s="10" t="inlineStr">
        <x:is>
          <x:t xml:space="preserve">Fixed-term</x:t>
        </x:is>
      </x:c>
      <x:c r="I9" s="10" t="inlineStr">
        <x:is>
          <x:t xml:space="preserve">Printing/warehousing; hub supplies; distribution to sites</x:t>
        </x:is>
      </x:c>
    </x:row>
    <x:row r="10">
      <x:c r="A10" s="10" t="inlineStr">
        <x:is>
          <x:t xml:space="preserve">Finance/Admin Officer</x:t>
        </x:is>
      </x:c>
      <x:c r="B10" s="23" t="n">
        <x:v>1</x:v>
      </x:c>
      <x:c r="C10" s="24" t="n">
        <x:v>0.5</x:v>
      </x:c>
      <x:c r="D10" s="12">
        <x:f>B10*C10</x:f>
        <x:v>0.5</x:v>
      </x:c>
      <x:c r="E10" s="15" t="n">
        <x:v>46054</x:v>
      </x:c>
      <x:c r="F10" s="15" t="n">
        <x:v>46234</x:v>
      </x:c>
      <x:c r="G10" s="10" t="inlineStr">
        <x:is>
          <x:t xml:space="preserve">Sundby</x:t>
        </x:is>
      </x:c>
      <x:c r="H10" s="10" t="inlineStr">
        <x:is>
          <x:t xml:space="preserve">Fixed-term</x:t>
        </x:is>
      </x:c>
      <x:c r="I10" s="10" t="inlineStr">
        <x:is>
          <x:t xml:space="preserve">Payments; procurement admin; reporting support</x:t>
        </x:is>
      </x:c>
    </x:row>
    <x:row r="11">
      <x:c r="A11" s="10" t="inlineStr">
        <x:is>
          <x:t xml:space="preserve">Site Lead (per hub)</x:t>
        </x:is>
      </x:c>
      <x:c r="B11" s="23" t="n">
        <x:v>3</x:v>
      </x:c>
      <x:c r="C11" s="24" t="n">
        <x:v>0.8</x:v>
      </x:c>
      <x:c r="D11" s="12">
        <x:f>B11*C11</x:f>
        <x:v>2.4000000000000004</x:v>
      </x:c>
      <x:c r="E11" s="15" t="n">
        <x:v>46068</x:v>
      </x:c>
      <x:c r="F11" s="15" t="n">
        <x:v>46234</x:v>
      </x:c>
      <x:c r="G11" s="10" t="inlineStr">
        <x:is>
          <x:t xml:space="preserve">3 hubs</x:t>
        </x:is>
      </x:c>
      <x:c r="H11" s="10" t="inlineStr">
        <x:is>
          <x:t xml:space="preserve">Fixed-term</x:t>
        </x:is>
      </x:c>
      <x:c r="I11" s="10" t="inlineStr">
        <x:is>
          <x:t xml:space="preserve">Daily hub ops; teacher support; attendance &amp; learner records</x:t>
        </x:is>
      </x:c>
    </x:row>
    <x:row r="12">
      <x:c r="A12" s="10" t="inlineStr">
        <x:is>
          <x:t xml:space="preserve">Teachers (roster)</x:t>
        </x:is>
      </x:c>
      <x:c r="B12" s="23" t="n">
        <x:v>12</x:v>
      </x:c>
      <x:c r="C12" s="24" t="n">
        <x:v>0.75</x:v>
      </x:c>
      <x:c r="D12" s="12">
        <x:f>B12*C12</x:f>
        <x:v>9</x:v>
      </x:c>
      <x:c r="E12" s="15" t="n">
        <x:v>46068</x:v>
      </x:c>
      <x:c r="F12" s="15" t="n">
        <x:v>46234</x:v>
      </x:c>
      <x:c r="G12" s="10" t="inlineStr">
        <x:is>
          <x:t xml:space="preserve">3 hubs</x:t>
        </x:is>
      </x:c>
      <x:c r="H12" s="10" t="inlineStr">
        <x:is>
          <x:t xml:space="preserve">Stipend</x:t>
        </x:is>
      </x:c>
      <x:c r="I12" s="10" t="inlineStr">
        <x:is>
          <x:t xml:space="preserve">Deliver lessons; manage classrooms; learner progress tracking</x:t>
        </x:is>
      </x:c>
    </x:row>
    <x:row r="13">
      <x:c r="A13" s="10" t="inlineStr">
        <x:is>
          <x:t xml:space="preserve">Classroom Assistants (stipended)</x:t>
        </x:is>
      </x:c>
      <x:c r="B13" s="23" t="n">
        <x:v>6</x:v>
      </x:c>
      <x:c r="C13" s="24" t="n">
        <x:v>0.5</x:v>
      </x:c>
      <x:c r="D13" s="12">
        <x:f>B13*C13</x:f>
        <x:v>3</x:v>
      </x:c>
      <x:c r="E13" s="15" t="n">
        <x:v>46068</x:v>
      </x:c>
      <x:c r="F13" s="15" t="n">
        <x:v>46234</x:v>
      </x:c>
      <x:c r="G13" s="10" t="inlineStr">
        <x:is>
          <x:t xml:space="preserve">3 hubs</x:t>
        </x:is>
      </x:c>
      <x:c r="H13" s="10" t="inlineStr">
        <x:is>
          <x:t xml:space="preserve">Stipend</x:t>
        </x:is>
      </x:c>
      <x:c r="I13" s="10" t="inlineStr">
        <x:is>
          <x:t xml:space="preserve">Translation support; classroom set-up; learner support</x:t>
        </x:is>
      </x:c>
    </x:row>
    <x:row r="14">
      <x:c r="A14" s="25" t="inlineStr">
        <x:is>
          <x:t xml:space="preserve">TOTAL</x:t>
        </x:is>
      </x:c>
      <x:c r="B14" s="16">
        <x:f>SUM(B5:B13)</x:f>
        <x:v>27</x:v>
      </x:c>
      <x:c r="C14" s="17" t="n"/>
      <x:c r="D14" s="18">
        <x:f>SUM(D5:D13)</x:f>
        <x:v>17.700000000000003</x:v>
      </x:c>
      <x:c r="E14" s="17" t="n"/>
      <x:c r="F14" s="17" t="n"/>
      <x:c r="G14" s="17" t="n"/>
      <x:c r="H14" s="17" t="n"/>
      <x:c r="I14" s="21" t="n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784bb5180d24f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34" customWidth="1"/>
    <x:col min="3" max="3" width="14" customWidth="1"/>
    <x:col min="4" max="4" width="10" customWidth="1"/>
    <x:col min="5" max="5" width="18" customWidth="1"/>
    <x:col min="6" max="6" width="18" customWidth="1"/>
    <x:col min="7" max="7" width="10" customWidth="1"/>
    <x:col min="8" max="8" width="24" customWidth="1"/>
  </x:cols>
  <x:sheetData>
    <x:row r="1" ht="32" customHeight="1">
      <x:c r="A1" s="1" t="inlineStr">
        <x:is>
          <x:t xml:space="preserve">Budget Allocation Summary — EDC (Demo)</x:t>
        </x:is>
      </x:c>
    </x:row>
    <x:row r="2">
      <x:c r="A2" s="3" t="inlineStr">
        <x:is>
          <x:t xml:space="preserve">High-level budget by category. Percentages and totals calculate automatically.</x:t>
        </x:is>
      </x:c>
    </x:row>
    <x:row r="4">
      <x:c r="A4" s="11" t="inlineStr">
        <x:is>
          <x:t xml:space="preserve">Category</x:t>
        </x:is>
      </x:c>
      <x:c r="B4" s="11" t="inlineStr">
        <x:is>
          <x:t xml:space="preserve">Description</x:t>
        </x:is>
      </x:c>
      <x:c r="C4" s="11" t="inlineStr">
        <x:is>
          <x:t xml:space="preserve">Amount (EUR)</x:t>
        </x:is>
      </x:c>
      <x:c r="D4" s="11" t="inlineStr">
        <x:is>
          <x:t xml:space="preserve">% of Total</x:t>
        </x:is>
      </x:c>
      <x:c r="E4" s="11" t="inlineStr">
        <x:is>
          <x:t xml:space="preserve">Owner</x:t>
        </x:is>
      </x:c>
      <x:c r="F4" s="11" t="inlineStr">
        <x:is>
          <x:t xml:space="preserve">Procurement Method</x:t>
        </x:is>
      </x:c>
      <x:c r="G4" s="11" t="inlineStr">
        <x:is>
          <x:t xml:space="preserve">Timing</x:t>
        </x:is>
      </x:c>
      <x:c r="H4" s="11" t="inlineStr">
        <x:is>
          <x:t xml:space="preserve">Notes</x:t>
        </x:is>
      </x:c>
    </x:row>
    <x:row r="5">
      <x:c r="A5" s="10" t="inlineStr">
        <x:is>
          <x:t xml:space="preserve">Personnel (core staff)</x:t>
        </x:is>
      </x:c>
      <x:c r="B5" s="10" t="inlineStr">
        <x:is>
          <x:t xml:space="preserve">Coordinator, M&amp;E, safeguarding, logistics, finance/admin (prorated)</x:t>
        </x:is>
      </x:c>
      <x:c r="C5" s="13" t="n">
        <x:v>214800</x:v>
      </x:c>
      <x:c r="D5" s="29">
        <x:f>C5/$C$14</x:f>
        <x:v>0.3416030534351145</x:v>
      </x:c>
      <x:c r="E5" s="10" t="inlineStr">
        <x:is>
          <x:t xml:space="preserve">Program Manager</x:t>
        </x:is>
      </x:c>
      <x:c r="F5" s="10" t="inlineStr">
        <x:is>
          <x:t xml:space="preserve">N/A (HR)</x:t>
        </x:is>
      </x:c>
      <x:c r="G5" s="10" t="inlineStr">
        <x:is>
          <x:t xml:space="preserve">Feb–Jul</x:t>
        </x:is>
      </x:c>
      <x:c r="H5" s="10" t="inlineStr">
        <x:is>
          <x:t xml:space="preserve">Contracts aligned to project duration</x:t>
        </x:is>
      </x:c>
    </x:row>
    <x:row r="6">
      <x:c r="A6" s="10" t="inlineStr">
        <x:is>
          <x:t xml:space="preserve">Curriculum consultants</x:t>
        </x:is>
      </x:c>
      <x:c r="B6" s="10" t="inlineStr">
        <x:is>
          <x:t xml:space="preserve">Specialist drafting, localization, editing, design support</x:t>
        </x:is>
      </x:c>
      <x:c r="C6" s="13" t="n">
        <x:v>72000</x:v>
      </x:c>
      <x:c r="D6" s="29">
        <x:f>C6/$C$14</x:f>
        <x:v>0.11450381679389313</x:v>
      </x:c>
      <x:c r="E6" s="10" t="inlineStr">
        <x:is>
          <x:t xml:space="preserve">Education Coordinator</x:t>
        </x:is>
      </x:c>
      <x:c r="F6" s="10" t="inlineStr">
        <x:is>
          <x:t xml:space="preserve">RFQ / framework</x:t>
        </x:is>
      </x:c>
      <x:c r="G6" s="10" t="inlineStr">
        <x:is>
          <x:t xml:space="preserve">Feb–Apr</x:t>
        </x:is>
      </x:c>
      <x:c r="H6" s="10" t="inlineStr">
        <x:is>
          <x:t xml:space="preserve">Deliverables-based payments</x:t>
        </x:is>
      </x:c>
    </x:row>
    <x:row r="7">
      <x:c r="A7" s="10" t="inlineStr">
        <x:is>
          <x:t xml:space="preserve">Learning materials (print/kits)</x:t>
        </x:is>
      </x:c>
      <x:c r="B7" s="10" t="inlineStr">
        <x:is>
          <x:t xml:space="preserve">Workbooks, flashcards, posters, classroom kits, reprints</x:t>
        </x:is>
      </x:c>
      <x:c r="C7" s="13" t="n">
        <x:v>115500</x:v>
      </x:c>
      <x:c r="D7" s="29">
        <x:f>C7/$C$14</x:f>
        <x:v>0.18368320610687022</x:v>
      </x:c>
      <x:c r="E7" s="10" t="inlineStr">
        <x:is>
          <x:t xml:space="preserve">Logistics Officer</x:t>
        </x:is>
      </x:c>
      <x:c r="F7" s="10" t="inlineStr">
        <x:is>
          <x:t xml:space="preserve">Competitive RFQ</x:t>
        </x:is>
      </x:c>
      <x:c r="G7" s="10" t="inlineStr">
        <x:is>
          <x:t xml:space="preserve">Feb–Jun</x:t>
        </x:is>
      </x:c>
      <x:c r="H7" s="10" t="inlineStr">
        <x:is>
          <x:t xml:space="preserve">Pilot + scale print runs</x:t>
        </x:is>
      </x:c>
    </x:row>
    <x:row r="8">
      <x:c r="A8" s="10" t="inlineStr">
        <x:is>
          <x:t xml:space="preserve">Teacher training &amp; coaching</x:t>
        </x:is>
      </x:c>
      <x:c r="B8" s="10" t="inlineStr">
        <x:is>
          <x:t xml:space="preserve">Training venue, per diem, materials, coaching travel</x:t>
        </x:is>
      </x:c>
      <x:c r="C8" s="13" t="n">
        <x:v>48000</x:v>
      </x:c>
      <x:c r="D8" s="29">
        <x:f>C8/$C$14</x:f>
        <x:v>0.07633587786259542</x:v>
      </x:c>
      <x:c r="E8" s="10" t="inlineStr">
        <x:is>
          <x:t xml:space="preserve">Site Leads</x:t>
        </x:is>
      </x:c>
      <x:c r="F8" s="10" t="inlineStr">
        <x:is>
          <x:t xml:space="preserve">Direct purchase / RFQ</x:t>
        </x:is>
      </x:c>
      <x:c r="G8" s="10" t="inlineStr">
        <x:is>
          <x:t xml:space="preserve">Mar–Jul</x:t>
        </x:is>
      </x:c>
      <x:c r="H8" s="10" t="inlineStr">
        <x:is>
          <x:t xml:space="preserve">3-day ToT + ongoing coaching</x:t>
        </x:is>
      </x:c>
    </x:row>
    <x:row r="9">
      <x:c r="A9" s="10" t="inlineStr">
        <x:is>
          <x:t xml:space="preserve">Learning hub supplies</x:t>
        </x:is>
      </x:c>
      <x:c r="B9" s="10" t="inlineStr">
        <x:is>
          <x:t xml:space="preserve">Stationery, whiteboards, basic learning aids, minor repairs</x:t>
        </x:is>
      </x:c>
      <x:c r="C9" s="13" t="n">
        <x:v>52500</x:v>
      </x:c>
      <x:c r="D9" s="29">
        <x:f>C9/$C$14</x:f>
        <x:v>0.08349236641221373</x:v>
      </x:c>
      <x:c r="E9" s="10" t="inlineStr">
        <x:is>
          <x:t xml:space="preserve">Site Leads</x:t>
        </x:is>
      </x:c>
      <x:c r="F9" s="10" t="inlineStr">
        <x:is>
          <x:t xml:space="preserve">Petty cash / local procurement</x:t>
        </x:is>
      </x:c>
      <x:c r="G9" s="10" t="inlineStr">
        <x:is>
          <x:t xml:space="preserve">Feb–Jul</x:t>
        </x:is>
      </x:c>
      <x:c r="H9" s="10" t="inlineStr">
        <x:is>
          <x:t xml:space="preserve">Monthly replenishment</x:t>
        </x:is>
      </x:c>
    </x:row>
    <x:row r="10">
      <x:c r="A10" s="10" t="inlineStr">
        <x:is>
          <x:t xml:space="preserve">Transport &amp; logistics</x:t>
        </x:is>
      </x:c>
      <x:c r="B10" s="10" t="inlineStr">
        <x:is>
          <x:t xml:space="preserve">Warehouse-to-hub deliveries, fuel, loading/unloading</x:t>
        </x:is>
      </x:c>
      <x:c r="C10" s="13" t="n">
        <x:v>36000</x:v>
      </x:c>
      <x:c r="D10" s="29">
        <x:f>C10/$C$14</x:f>
        <x:v>0.05725190839694656</x:v>
      </x:c>
      <x:c r="E10" s="10" t="inlineStr">
        <x:is>
          <x:t xml:space="preserve">Logistics Officer</x:t>
        </x:is>
      </x:c>
      <x:c r="F10" s="10" t="inlineStr">
        <x:is>
          <x:t xml:space="preserve">Service contract</x:t>
        </x:is>
      </x:c>
      <x:c r="G10" s="10" t="inlineStr">
        <x:is>
          <x:t xml:space="preserve">Feb–Jul</x:t>
        </x:is>
      </x:c>
      <x:c r="H10" s="10" t="inlineStr">
        <x:is>
          <x:t xml:space="preserve">Fixed schedule + ad-hoc runs</x:t>
        </x:is>
      </x:c>
    </x:row>
    <x:row r="11">
      <x:c r="A11" s="10" t="inlineStr">
        <x:is>
          <x:t xml:space="preserve">MEL (assessments/PDM)</x:t>
        </x:is>
      </x:c>
      <x:c r="B11" s="10" t="inlineStr">
        <x:is>
          <x:t xml:space="preserve">Assessment tools, enumerators, phone credit, QA checks</x:t>
        </x:is>
      </x:c>
      <x:c r="C11" s="13" t="n">
        <x:v>24000</x:v>
      </x:c>
      <x:c r="D11" s="29">
        <x:f>C11/$C$14</x:f>
        <x:v>0.03816793893129771</x:v>
      </x:c>
      <x:c r="E11" s="10" t="inlineStr">
        <x:is>
          <x:t xml:space="preserve">M&amp;E Officer</x:t>
        </x:is>
      </x:c>
      <x:c r="F11" s="10" t="inlineStr">
        <x:is>
          <x:t xml:space="preserve">Direct purchase / RFQ</x:t>
        </x:is>
      </x:c>
      <x:c r="G11" s="10" t="inlineStr">
        <x:is>
          <x:t xml:space="preserve">Feb–Jul</x:t>
        </x:is>
      </x:c>
      <x:c r="H11" s="10" t="inlineStr">
        <x:is>
          <x:t xml:space="preserve">Monthly progress checks</x:t>
        </x:is>
      </x:c>
    </x:row>
    <x:row r="12">
      <x:c r="A12" s="10" t="inlineStr">
        <x:is>
          <x:t xml:space="preserve">Safeguarding &amp; AAP</x:t>
        </x:is>
      </x:c>
      <x:c r="B12" s="10" t="inlineStr">
        <x:is>
          <x:t xml:space="preserve">Helpdesk setup, signage, training, hotline fees</x:t>
        </x:is>
      </x:c>
      <x:c r="C12" s="13" t="n">
        <x:v>18000</x:v>
      </x:c>
      <x:c r="D12" s="29">
        <x:f>C12/$C$14</x:f>
        <x:v>0.02862595419847328</x:v>
      </x:c>
      <x:c r="E12" s="10" t="inlineStr">
        <x:is>
          <x:t xml:space="preserve">Safeguarding Focal Point</x:t>
        </x:is>
      </x:c>
      <x:c r="F12" s="10" t="inlineStr">
        <x:is>
          <x:t xml:space="preserve">Direct purchase</x:t>
        </x:is>
      </x:c>
      <x:c r="G12" s="10" t="inlineStr">
        <x:is>
          <x:t xml:space="preserve">Feb–Jul</x:t>
        </x:is>
      </x:c>
      <x:c r="H12" s="10" t="inlineStr">
        <x:is>
          <x:t xml:space="preserve">Complaint response tracked</x:t>
        </x:is>
      </x:c>
    </x:row>
    <x:row r="13">
      <x:c r="A13" s="10" t="inlineStr">
        <x:is>
          <x:t xml:space="preserve">Admin/Overhead</x:t>
        </x:is>
      </x:c>
      <x:c r="B13" s="10" t="inlineStr">
        <x:is>
          <x:t xml:space="preserve">Shared services, compliance, audit support (approx. 5%)</x:t>
        </x:is>
      </x:c>
      <x:c r="C13" s="13" t="n">
        <x:v>48000</x:v>
      </x:c>
      <x:c r="D13" s="29">
        <x:f>C13/$C$14</x:f>
        <x:v>0.07633587786259542</x:v>
      </x:c>
      <x:c r="E13" s="10" t="inlineStr">
        <x:is>
          <x:t xml:space="preserve">Finance/Admin</x:t>
        </x:is>
      </x:c>
      <x:c r="F13" s="10" t="inlineStr">
        <x:is>
          <x:t xml:space="preserve">N/A</x:t>
        </x:is>
      </x:c>
      <x:c r="G13" s="10" t="inlineStr">
        <x:is>
          <x:t xml:space="preserve">Feb–Jul</x:t>
        </x:is>
      </x:c>
      <x:c r="H13" s="10" t="inlineStr">
        <x:is>
          <x:t xml:space="preserve">Calculated as policy rate</x:t>
        </x:is>
      </x:c>
    </x:row>
    <x:row r="14">
      <x:c r="A14" s="16" t="inlineStr">
        <x:is>
          <x:t xml:space="preserve">TOTAL</x:t>
        </x:is>
      </x:c>
      <x:c r="B14" s="25" t="inlineStr">
        <x:is>
          <x:t xml:space="preserve">Total requested / planned</x:t>
        </x:is>
      </x:c>
      <x:c r="C14" s="19">
        <x:f>SUM(C5:C13)</x:f>
        <x:v>628800</x:v>
      </x:c>
      <x:c r="D14" s="30">
        <x:f>1</x:f>
        <x:v>1</x:v>
      </x:c>
      <x:c r="E14" s="17" t="n"/>
      <x:c r="F14" s="17" t="n"/>
      <x:c r="G14" s="17" t="n"/>
      <x:c r="H14" s="21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145f9f09fefb48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36" customWidth="1"/>
    <x:col min="9" max="9" width="2" customWidth="1"/>
  </x:cols>
  <x:sheetData>
    <x:row r="1" ht="32" customHeight="1">
      <x:c r="A1" s="1" t="inlineStr">
        <x:is>
          <x:t xml:space="preserve">Monthly Resource Plan (Feb–Jul 2026) — EDC (Demo)</x:t>
        </x:is>
      </x:c>
    </x:row>
    <x:row r="2">
      <x:c r="A2" s="3" t="inlineStr">
        <x:is>
          <x:t xml:space="preserve">Planned intensity and key deliverables by month. Use this as an overview for scheduling and procurement.</x:t>
        </x:is>
      </x:c>
    </x:row>
    <x:row r="5">
      <x:c r="A5" s="6" t="inlineStr">
        <x:is>
          <x:t xml:space="preserve">Workstream / Input</x:t>
        </x:is>
      </x:c>
      <x:c r="B5" s="11" t="inlineStr">
        <x:is>
          <x:t xml:space="preserve">Feb 2026</x:t>
        </x:is>
      </x:c>
      <x:c r="C5" s="11" t="inlineStr">
        <x:is>
          <x:t xml:space="preserve">Mar 2026</x:t>
        </x:is>
      </x:c>
      <x:c r="D5" s="11" t="inlineStr">
        <x:is>
          <x:t xml:space="preserve">Apr 2026</x:t>
        </x:is>
      </x:c>
      <x:c r="E5" s="11" t="inlineStr">
        <x:is>
          <x:t xml:space="preserve">May 2026</x:t>
        </x:is>
      </x:c>
      <x:c r="F5" s="11" t="inlineStr">
        <x:is>
          <x:t xml:space="preserve">Jun 2026</x:t>
        </x:is>
      </x:c>
      <x:c r="G5" s="11" t="inlineStr">
        <x:is>
          <x:t xml:space="preserve">Jul 2026</x:t>
        </x:is>
      </x:c>
      <x:c r="H5" s="11" t="inlineStr">
        <x:is>
          <x:t xml:space="preserve">Key Deliverable by End of Period</x:t>
        </x:is>
      </x:c>
    </x:row>
    <x:row r="6">
      <x:c r="A6" s="10" t="inlineStr">
        <x:is>
          <x:t xml:space="preserve">Curriculum framework &amp; localization</x:t>
        </x:is>
      </x:c>
      <x:c r="B6" s="23" t="inlineStr">
        <x:is>
          <x:t xml:space="preserve">High</x:t>
        </x:is>
      </x:c>
      <x:c r="C6" s="23" t="inlineStr">
        <x:is>
          <x:t xml:space="preserve">High</x:t>
        </x:is>
      </x:c>
      <x:c r="D6" s="23" t="inlineStr">
        <x:is>
          <x:t xml:space="preserve">Med</x:t>
        </x:is>
      </x:c>
      <x:c r="E6" s="23" t="inlineStr">
        <x:is>
          <x:t xml:space="preserve">Low</x:t>
        </x:is>
      </x:c>
      <x:c r="F6" s="23" t="inlineStr">
        <x:is>
          <x:t xml:space="preserve">Low</x:t>
        </x:is>
      </x:c>
      <x:c r="G6" s="23" t="inlineStr">
        <x:is>
          <x:t xml:space="preserve">Low</x:t>
        </x:is>
      </x:c>
      <x:c r="H6" s="10" t="inlineStr">
        <x:is>
          <x:t xml:space="preserve">Curriculum v1.1 + teacher guides ready</x:t>
        </x:is>
      </x:c>
    </x:row>
    <x:row r="7">
      <x:c r="A7" s="26" t="inlineStr">
        <x:is>
          <x:t xml:space="preserve">Teacher training (initial)</x:t>
        </x:is>
      </x:c>
      <x:c r="B7" s="27" t="inlineStr">
        <x:is>
          <x:t xml:space="preserve">Low</x:t>
        </x:is>
      </x:c>
      <x:c r="C7" s="27" t="inlineStr">
        <x:is>
          <x:t xml:space="preserve">High</x:t>
        </x:is>
      </x:c>
      <x:c r="D7" s="27" t="inlineStr">
        <x:is>
          <x:t xml:space="preserve">Med</x:t>
        </x:is>
      </x:c>
      <x:c r="E7" s="27" t="inlineStr">
        <x:is>
          <x:t xml:space="preserve">Low</x:t>
        </x:is>
      </x:c>
      <x:c r="F7" s="27" t="inlineStr">
        <x:is>
          <x:t xml:space="preserve">Low</x:t>
        </x:is>
      </x:c>
      <x:c r="G7" s="27" t="inlineStr">
        <x:is>
          <x:t xml:space="preserve">Low</x:t>
        </x:is>
      </x:c>
      <x:c r="H7" s="26" t="inlineStr">
        <x:is>
          <x:t xml:space="preserve">All teachers trained + refresher plan</x:t>
        </x:is>
      </x:c>
    </x:row>
    <x:row r="8">
      <x:c r="A8" s="10" t="inlineStr">
        <x:is>
          <x:t xml:space="preserve">Coaching &amp; communities of practice</x:t>
        </x:is>
      </x:c>
      <x:c r="B8" s="23" t="inlineStr">
        <x:is>
          <x:t xml:space="preserve">Low</x:t>
        </x:is>
      </x:c>
      <x:c r="C8" s="23" t="inlineStr">
        <x:is>
          <x:t xml:space="preserve">Med</x:t>
        </x:is>
      </x:c>
      <x:c r="D8" s="23" t="inlineStr">
        <x:is>
          <x:t xml:space="preserve">High</x:t>
        </x:is>
      </x:c>
      <x:c r="E8" s="23" t="inlineStr">
        <x:is>
          <x:t xml:space="preserve">High</x:t>
        </x:is>
      </x:c>
      <x:c r="F8" s="23" t="inlineStr">
        <x:is>
          <x:t xml:space="preserve">High</x:t>
        </x:is>
      </x:c>
      <x:c r="G8" s="23" t="inlineStr">
        <x:is>
          <x:t xml:space="preserve">High</x:t>
        </x:is>
      </x:c>
      <x:c r="H8" s="10" t="inlineStr">
        <x:is>
          <x:t xml:space="preserve">Weekly coaching cycles documented</x:t>
        </x:is>
      </x:c>
    </x:row>
    <x:row r="9">
      <x:c r="A9" s="26" t="inlineStr">
        <x:is>
          <x:t xml:space="preserve">Materials: pilot print + kit assembly</x:t>
        </x:is>
      </x:c>
      <x:c r="B9" s="27" t="inlineStr">
        <x:is>
          <x:t xml:space="preserve">High</x:t>
        </x:is>
      </x:c>
      <x:c r="C9" s="27" t="inlineStr">
        <x:is>
          <x:t xml:space="preserve">High</x:t>
        </x:is>
      </x:c>
      <x:c r="D9" s="27" t="inlineStr">
        <x:is>
          <x:t xml:space="preserve">Med</x:t>
        </x:is>
      </x:c>
      <x:c r="E9" s="27" t="inlineStr">
        <x:is>
          <x:t xml:space="preserve">Low</x:t>
        </x:is>
      </x:c>
      <x:c r="F9" s="27" t="inlineStr">
        <x:is>
          <x:t xml:space="preserve">Low</x:t>
        </x:is>
      </x:c>
      <x:c r="G9" s="27" t="inlineStr">
        <x:is>
          <x:t xml:space="preserve">Low</x:t>
        </x:is>
      </x:c>
      <x:c r="H9" s="26" t="inlineStr">
        <x:is>
          <x:t xml:space="preserve">Pilot materials deployed in 3 hubs</x:t>
        </x:is>
      </x:c>
    </x:row>
    <x:row r="10">
      <x:c r="A10" s="10" t="inlineStr">
        <x:is>
          <x:t xml:space="preserve">Materials: scale print + replenishment</x:t>
        </x:is>
      </x:c>
      <x:c r="B10" s="23" t="inlineStr">
        <x:is>
          <x:t xml:space="preserve">Low</x:t>
        </x:is>
      </x:c>
      <x:c r="C10" s="23" t="inlineStr">
        <x:is>
          <x:t xml:space="preserve">Med</x:t>
        </x:is>
      </x:c>
      <x:c r="D10" s="23" t="inlineStr">
        <x:is>
          <x:t xml:space="preserve">High</x:t>
        </x:is>
      </x:c>
      <x:c r="E10" s="23" t="inlineStr">
        <x:is>
          <x:t xml:space="preserve">High</x:t>
        </x:is>
      </x:c>
      <x:c r="F10" s="23" t="inlineStr">
        <x:is>
          <x:t xml:space="preserve">High</x:t>
        </x:is>
      </x:c>
      <x:c r="G10" s="23" t="inlineStr">
        <x:is>
          <x:t xml:space="preserve">Med</x:t>
        </x:is>
      </x:c>
      <x:c r="H10" s="10" t="inlineStr">
        <x:is>
          <x:t xml:space="preserve">Scale batch delivered + reprint buffer</x:t>
        </x:is>
      </x:c>
    </x:row>
    <x:row r="11">
      <x:c r="A11" s="26" t="inlineStr">
        <x:is>
          <x:t xml:space="preserve">Learning hub operations (class delivery)</x:t>
        </x:is>
      </x:c>
      <x:c r="B11" s="27" t="inlineStr">
        <x:is>
          <x:t xml:space="preserve">Med</x:t>
        </x:is>
      </x:c>
      <x:c r="C11" s="27" t="inlineStr">
        <x:is>
          <x:t xml:space="preserve">High</x:t>
        </x:is>
      </x:c>
      <x:c r="D11" s="27" t="inlineStr">
        <x:is>
          <x:t xml:space="preserve">High</x:t>
        </x:is>
      </x:c>
      <x:c r="E11" s="27" t="inlineStr">
        <x:is>
          <x:t xml:space="preserve">High</x:t>
        </x:is>
      </x:c>
      <x:c r="F11" s="27" t="inlineStr">
        <x:is>
          <x:t xml:space="preserve">High</x:t>
        </x:is>
      </x:c>
      <x:c r="G11" s="27" t="inlineStr">
        <x:is>
          <x:t xml:space="preserve">High</x:t>
        </x:is>
      </x:c>
      <x:c r="H11" s="26" t="inlineStr">
        <x:is>
          <x:t xml:space="preserve">Routine delivery stabilized</x:t>
        </x:is>
      </x:c>
    </x:row>
    <x:row r="12">
      <x:c r="A12" s="10" t="inlineStr">
        <x:is>
          <x:t xml:space="preserve">MEL: placement + monthly benchmarks</x:t>
        </x:is>
      </x:c>
      <x:c r="B12" s="23" t="inlineStr">
        <x:is>
          <x:t xml:space="preserve">Med</x:t>
        </x:is>
      </x:c>
      <x:c r="C12" s="23" t="inlineStr">
        <x:is>
          <x:t xml:space="preserve">Med</x:t>
        </x:is>
      </x:c>
      <x:c r="D12" s="23" t="inlineStr">
        <x:is>
          <x:t xml:space="preserve">Med</x:t>
        </x:is>
      </x:c>
      <x:c r="E12" s="23" t="inlineStr">
        <x:is>
          <x:t xml:space="preserve">Med</x:t>
        </x:is>
      </x:c>
      <x:c r="F12" s="23" t="inlineStr">
        <x:is>
          <x:t xml:space="preserve">Med</x:t>
        </x:is>
      </x:c>
      <x:c r="G12" s="23" t="inlineStr">
        <x:is>
          <x:t xml:space="preserve">Med</x:t>
        </x:is>
      </x:c>
      <x:c r="H12" s="10" t="inlineStr">
        <x:is>
          <x:t xml:space="preserve">Monthly progress snapshot compiled</x:t>
        </x:is>
      </x:c>
    </x:row>
    <x:row r="13">
      <x:c r="A13" s="26" t="inlineStr">
        <x:is>
          <x:t xml:space="preserve">Safeguarding &amp; AAP (helpdesk/hotline)</x:t>
        </x:is>
      </x:c>
      <x:c r="B13" s="27" t="inlineStr">
        <x:is>
          <x:t xml:space="preserve">Med</x:t>
        </x:is>
      </x:c>
      <x:c r="C13" s="27" t="inlineStr">
        <x:is>
          <x:t xml:space="preserve">Med</x:t>
        </x:is>
      </x:c>
      <x:c r="D13" s="27" t="inlineStr">
        <x:is>
          <x:t xml:space="preserve">Med</x:t>
        </x:is>
      </x:c>
      <x:c r="E13" s="27" t="inlineStr">
        <x:is>
          <x:t xml:space="preserve">Med</x:t>
        </x:is>
      </x:c>
      <x:c r="F13" s="27" t="inlineStr">
        <x:is>
          <x:t xml:space="preserve">Med</x:t>
        </x:is>
      </x:c>
      <x:c r="G13" s="27" t="inlineStr">
        <x:is>
          <x:t xml:space="preserve">Med</x:t>
        </x:is>
      </x:c>
      <x:c r="H13" s="26" t="inlineStr">
        <x:is>
          <x:t xml:space="preserve">Feedback loop operational; issues tracked</x:t>
        </x:is>
      </x:c>
    </x:row>
    <x:row r="14">
      <x:c r="A14" s="10" t="inlineStr">
        <x:is>
          <x:t xml:space="preserve">Procurement &amp; logistics (transport, storage)</x:t>
        </x:is>
      </x:c>
      <x:c r="B14" s="23" t="inlineStr">
        <x:is>
          <x:t xml:space="preserve">High</x:t>
        </x:is>
      </x:c>
      <x:c r="C14" s="23" t="inlineStr">
        <x:is>
          <x:t xml:space="preserve">High</x:t>
        </x:is>
      </x:c>
      <x:c r="D14" s="23" t="inlineStr">
        <x:is>
          <x:t xml:space="preserve">Med</x:t>
        </x:is>
      </x:c>
      <x:c r="E14" s="23" t="inlineStr">
        <x:is>
          <x:t xml:space="preserve">Med</x:t>
        </x:is>
      </x:c>
      <x:c r="F14" s="23" t="inlineStr">
        <x:is>
          <x:t xml:space="preserve">Med</x:t>
        </x:is>
      </x:c>
      <x:c r="G14" s="23" t="inlineStr">
        <x:is>
          <x:t xml:space="preserve">Low</x:t>
        </x:is>
      </x:c>
      <x:c r="H14" s="10" t="inlineStr">
        <x:is>
          <x:t xml:space="preserve">Supply chain stabilized; lead times reduced</x:t>
        </x:is>
      </x:c>
    </x:row>
    <x:row r="17" ht="22" customHeight="1">
      <x:c r="A17" s="28" t="inlineStr">
        <x:is>
          <x:t xml:space="preserve">Legend: High = major activity / heavy resource use; Med = steady resourcing; Low = limited activity / maintenance.</x:t>
        </x:is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